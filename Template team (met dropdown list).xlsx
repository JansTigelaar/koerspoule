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Gebruiker/Downloads/"/>
    </mc:Choice>
  </mc:AlternateContent>
  <xr:revisionPtr revIDLastSave="0" documentId="8_{9E7A3E7B-CCB3-034C-A8B0-8305C290135C}" xr6:coauthVersionLast="47" xr6:coauthVersionMax="47" xr10:uidLastSave="{00000000-0000-0000-0000-000000000000}"/>
  <bookViews>
    <workbookView xWindow="4420" yWindow="680" windowWidth="24980" windowHeight="16700" xr2:uid="{00000000-000D-0000-FFFF-FFFF00000000}"/>
  </bookViews>
  <sheets>
    <sheet name="Reglement &amp; Puntentelling" sheetId="3" r:id="rId1"/>
    <sheet name="TEMPLATE TEAM" sheetId="2" r:id="rId2"/>
    <sheet name="Categorieën" sheetId="1" r:id="rId3"/>
    <sheet name="Namen Jokers final" sheetId="4" r:id="rId4"/>
    <sheet name="Namen totaal" sheetId="5" r:id="rId5"/>
    <sheet name="Witte trui" sheetId="6" r:id="rId6"/>
  </sheets>
  <definedNames>
    <definedName name="_xlnm._FilterDatabase" localSheetId="3" hidden="1">'Namen Jokers final'!$A$1:$B$1</definedName>
    <definedName name="_xlnm._FilterDatabase" localSheetId="4" hidden="1">'Namen totaal'!$A$1:$B$185</definedName>
    <definedName name="_xlnm._FilterDatabase" localSheetId="5" hidden="1">'Witte trui'!$A$1:$B$1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" i="2" l="1"/>
  <c r="E26" i="2"/>
  <c r="E19" i="2"/>
  <c r="B28" i="2"/>
  <c r="B29" i="2" s="1"/>
  <c r="E28" i="2"/>
  <c r="E29" i="2"/>
  <c r="E30" i="2"/>
  <c r="E31" i="2"/>
  <c r="E32" i="2"/>
  <c r="E33" i="2"/>
  <c r="E34" i="2"/>
  <c r="E35" i="2"/>
  <c r="D50" i="1"/>
  <c r="D47" i="1"/>
  <c r="D44" i="1"/>
  <c r="D41" i="1"/>
  <c r="D40" i="1"/>
  <c r="D39" i="1"/>
  <c r="I36" i="1"/>
  <c r="I35" i="1"/>
  <c r="E25" i="2"/>
  <c r="E24" i="2"/>
  <c r="E23" i="2"/>
  <c r="E22" i="2"/>
  <c r="E21" i="2"/>
  <c r="E20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B22" i="2"/>
  <c r="B23" i="2" s="1"/>
  <c r="B24" i="2" s="1"/>
  <c r="B25" i="2" s="1"/>
  <c r="B26" i="2" s="1"/>
  <c r="B27" i="2" s="1"/>
</calcChain>
</file>

<file path=xl/sharedStrings.xml><?xml version="1.0" encoding="utf-8"?>
<sst xmlns="http://schemas.openxmlformats.org/spreadsheetml/2006/main" count="547" uniqueCount="348">
  <si>
    <t>DE VOORSPELLING:</t>
  </si>
  <si>
    <t>INVULLEN OP BLAD 'TEMPLATE TEAM', INCLUSIEF RUGNUMMER!!!</t>
  </si>
  <si>
    <t>ETAPPES:</t>
  </si>
  <si>
    <t>Kies 1 renner per kolom:</t>
  </si>
  <si>
    <t>Rugnr:</t>
  </si>
  <si>
    <t>Klimmers</t>
  </si>
  <si>
    <t>KLASSEMENTEN:</t>
  </si>
  <si>
    <t>Voorspel het podium van het eindklassement</t>
  </si>
  <si>
    <t>1.</t>
  </si>
  <si>
    <t>2.</t>
  </si>
  <si>
    <t>3.</t>
  </si>
  <si>
    <t>Voorspel de winnaar van de puntentrui:</t>
  </si>
  <si>
    <t>Voorspel de winnaar van de bergtrui:</t>
  </si>
  <si>
    <t>Voorspel de winnaar van het jongerenklassement</t>
  </si>
  <si>
    <t>DE PUNTENTELLING:</t>
  </si>
  <si>
    <t>Per etappe:</t>
  </si>
  <si>
    <t>Positie:</t>
  </si>
  <si>
    <t>Punten</t>
  </si>
  <si>
    <t>Podium voorspelling 1 t/m 3</t>
  </si>
  <si>
    <t>HET REGELEMENT:</t>
  </si>
  <si>
    <t>1. De jury, bestaande uit J.W.M. Broos, heeft gelijk.</t>
  </si>
  <si>
    <t>2. Zo niet, dan toch.</t>
  </si>
  <si>
    <t>NAAM:</t>
  </si>
  <si>
    <t>Nummer:</t>
  </si>
  <si>
    <t>Categorie:</t>
  </si>
  <si>
    <t>Naam renner:</t>
  </si>
  <si>
    <t>Rugnummer:</t>
  </si>
  <si>
    <t>Eindklassementen:</t>
  </si>
  <si>
    <t>Puntentrui:</t>
  </si>
  <si>
    <t>Jongerentrui:</t>
  </si>
  <si>
    <t>Bergtrui:</t>
  </si>
  <si>
    <t>Kies 2 jokers die NIET in de bovenstaande kolommen genoemd worden:</t>
  </si>
  <si>
    <t>Podium eindklassement:</t>
  </si>
  <si>
    <t>Etappes:</t>
  </si>
  <si>
    <t>Puncheurs 2</t>
  </si>
  <si>
    <t>Klassementen:</t>
  </si>
  <si>
    <t>5: Vul je team in op het tabblad 'TEMPLATE TEAM'</t>
  </si>
  <si>
    <t>5. Beter geen scriptjes</t>
  </si>
  <si>
    <t>Pogacar</t>
  </si>
  <si>
    <t>Vingegaard</t>
  </si>
  <si>
    <t>Evenepoel</t>
  </si>
  <si>
    <t>Roglic</t>
  </si>
  <si>
    <t>Superknecht</t>
  </si>
  <si>
    <t>Jorgenson</t>
  </si>
  <si>
    <t>Benoot</t>
  </si>
  <si>
    <t>Van Aert</t>
  </si>
  <si>
    <t>Van der Poel</t>
  </si>
  <si>
    <t>Gall</t>
  </si>
  <si>
    <t>Naesen</t>
  </si>
  <si>
    <t>Philipsen</t>
  </si>
  <si>
    <t>Demare</t>
  </si>
  <si>
    <t>Vauquelin</t>
  </si>
  <si>
    <t>Lutsenko</t>
  </si>
  <si>
    <t>Mohoric</t>
  </si>
  <si>
    <t>Bauhaus</t>
  </si>
  <si>
    <t>Buitrago</t>
  </si>
  <si>
    <t>Van Poppel</t>
  </si>
  <si>
    <t>Vlasov</t>
  </si>
  <si>
    <t>Coquard</t>
  </si>
  <si>
    <t>Healy</t>
  </si>
  <si>
    <t>Powless</t>
  </si>
  <si>
    <t>Van den Berg</t>
  </si>
  <si>
    <t>Gregoire</t>
  </si>
  <si>
    <t>Martinez</t>
  </si>
  <si>
    <t>Girmay</t>
  </si>
  <si>
    <t>Teunissen</t>
  </si>
  <si>
    <t>Stuyven</t>
  </si>
  <si>
    <t>Mas</t>
  </si>
  <si>
    <t>Aranburu</t>
  </si>
  <si>
    <t>Groenewegen</t>
  </si>
  <si>
    <t>Onley</t>
  </si>
  <si>
    <t>S Yates</t>
  </si>
  <si>
    <t>Almeida</t>
  </si>
  <si>
    <t>Ackermann</t>
  </si>
  <si>
    <t>De Lie</t>
  </si>
  <si>
    <t>Rittenkapers</t>
  </si>
  <si>
    <t>Cort</t>
  </si>
  <si>
    <t>Waerenskjold</t>
  </si>
  <si>
    <t>Carlos Rodriguez</t>
  </si>
  <si>
    <t>Van Wilder</t>
  </si>
  <si>
    <t>Van den Broek</t>
  </si>
  <si>
    <t>6. Als iemand uit de Tour stapt, pech voor jou :(</t>
  </si>
  <si>
    <t>3. 5 euro inleg, winner takes all</t>
  </si>
  <si>
    <t>Puncheurs 1</t>
  </si>
  <si>
    <t>Joker 1</t>
  </si>
  <si>
    <t>Joker 2</t>
  </si>
  <si>
    <t>Goede plek goede renner: 50</t>
  </si>
  <si>
    <t>Goede renner verkeerde plek: 25</t>
  </si>
  <si>
    <t>Juiste renner bolletjes/groene/witte trui: 25</t>
  </si>
  <si>
    <t>4. De inschrijving dient binnen te zijn om 12:00 uur op 5 juli.</t>
  </si>
  <si>
    <t>GC Aliens</t>
  </si>
  <si>
    <t>God of n ex-Alien?</t>
  </si>
  <si>
    <t>Klassieke Aliens &amp; Ganna</t>
  </si>
  <si>
    <t>Ganna</t>
  </si>
  <si>
    <t>Skjelmose</t>
  </si>
  <si>
    <t>Martin</t>
  </si>
  <si>
    <t>T Johannessen</t>
  </si>
  <si>
    <t>Van Eeltvelt</t>
  </si>
  <si>
    <t>O'Connor</t>
  </si>
  <si>
    <t>Geraint Thomas</t>
  </si>
  <si>
    <t>Geef ze nog een kans!</t>
  </si>
  <si>
    <t>Deze willen ook leuk meedoen</t>
  </si>
  <si>
    <t>Doen leuk mee</t>
  </si>
  <si>
    <t>Sivakov</t>
  </si>
  <si>
    <t>Soler</t>
  </si>
  <si>
    <t>Kuss</t>
  </si>
  <si>
    <t>Arensman</t>
  </si>
  <si>
    <t>Lipowitz</t>
  </si>
  <si>
    <t>Super superknecht</t>
  </si>
  <si>
    <t>Tweelingenexperiment</t>
  </si>
  <si>
    <t>A Yates</t>
  </si>
  <si>
    <t>VPP</t>
  </si>
  <si>
    <t>APP</t>
  </si>
  <si>
    <t>Paret-Peintre of Paret-Peintre?</t>
  </si>
  <si>
    <t>Milan</t>
  </si>
  <si>
    <t>Supersprinter</t>
  </si>
  <si>
    <t>Merlier</t>
  </si>
  <si>
    <t>Sprinter</t>
  </si>
  <si>
    <t>Meeus</t>
  </si>
  <si>
    <t>Groves</t>
  </si>
  <si>
    <t>Andresen</t>
  </si>
  <si>
    <t>Nog n sprinter</t>
  </si>
  <si>
    <t>Albanese</t>
  </si>
  <si>
    <t>Dainese</t>
  </si>
  <si>
    <t>Jeanniere</t>
  </si>
  <si>
    <t>Cees Bol</t>
  </si>
  <si>
    <t>EN NOG EEN?!</t>
  </si>
  <si>
    <t>Nys</t>
  </si>
  <si>
    <t>Narvaez</t>
  </si>
  <si>
    <t>Shachmann</t>
  </si>
  <si>
    <t>Pithie</t>
  </si>
  <si>
    <t>Alaphilippe</t>
  </si>
  <si>
    <t>Valgren</t>
  </si>
  <si>
    <t>Simmons</t>
  </si>
  <si>
    <t>Hirschi</t>
  </si>
  <si>
    <t>Storer</t>
  </si>
  <si>
    <t>Dunbar</t>
  </si>
  <si>
    <t>Romeo</t>
  </si>
  <si>
    <t>Tejada</t>
  </si>
  <si>
    <t>Woods</t>
  </si>
  <si>
    <t>Klassieke Belg</t>
  </si>
  <si>
    <t>Wellens</t>
  </si>
  <si>
    <t>Nederlander om aan te moedigen</t>
  </si>
  <si>
    <t>Roel van Sintmaartensdijk</t>
  </si>
  <si>
    <t>Mick van Dijke</t>
  </si>
  <si>
    <t>Tim Naberman</t>
  </si>
  <si>
    <t>Pascal Eenkhoorn</t>
  </si>
  <si>
    <t>Elmar Reinders</t>
  </si>
  <si>
    <t>Super supersprinter</t>
  </si>
  <si>
    <t>WÆRENSKJOLD Søren*</t>
  </si>
  <si>
    <t>LEKNESSUND Andreas</t>
  </si>
  <si>
    <t>JOHANNESSEN Anders Halland</t>
  </si>
  <si>
    <t>HOELGAARD Markus</t>
  </si>
  <si>
    <t>FREDHEIM Stian*</t>
  </si>
  <si>
    <t>CORT Magnus</t>
  </si>
  <si>
    <t>ABRAHAMSEN Jonas</t>
  </si>
  <si>
    <t>JOHANNESSEN Tobias Halland</t>
  </si>
  <si>
    <t>VAN MOER Brent</t>
  </si>
  <si>
    <t>SEPÚLVEDA Eduardo</t>
  </si>
  <si>
    <t>GRIGNARD Sébastien</t>
  </si>
  <si>
    <t>DRIZNERS Jarrad</t>
  </si>
  <si>
    <t>DE LIE Arnaud*</t>
  </si>
  <si>
    <t>DE BUYST Jasper</t>
  </si>
  <si>
    <t>BERCKMOES Jenno*</t>
  </si>
  <si>
    <t>VAN EETVELT Lennert*</t>
  </si>
  <si>
    <t>STEWART Jake</t>
  </si>
  <si>
    <t>NEILANDS Krists</t>
  </si>
  <si>
    <t>LUTSENKO Alexey</t>
  </si>
  <si>
    <t>LOUVEL Matis</t>
  </si>
  <si>
    <t>BOIVIN Guillaume</t>
  </si>
  <si>
    <t>BLACKMORE Joseph*</t>
  </si>
  <si>
    <t>ACKERMANN Pascal</t>
  </si>
  <si>
    <t>WOODS Michael</t>
  </si>
  <si>
    <t>VAN DEN BROEK Frank*</t>
  </si>
  <si>
    <t>NABERMAN Tim</t>
  </si>
  <si>
    <t>MÄRKL Niklas</t>
  </si>
  <si>
    <t>FLYNN Sean*</t>
  </si>
  <si>
    <t>BITTNER Pavel*</t>
  </si>
  <si>
    <t>BARGUIL Warren</t>
  </si>
  <si>
    <t>ANDRESEN Tobias Lund*</t>
  </si>
  <si>
    <t>ONLEY Oscar*</t>
  </si>
  <si>
    <t>VERCHER Mattéo*</t>
  </si>
  <si>
    <t>JEGAT Jordan</t>
  </si>
  <si>
    <t>JEANNIÈRE Emilien</t>
  </si>
  <si>
    <t>GACHIGNARD Thomas*</t>
  </si>
  <si>
    <t>DELETTRE Alexandre</t>
  </si>
  <si>
    <t>CRAS Steff</t>
  </si>
  <si>
    <t>BURGAUDEAU Mathieu</t>
  </si>
  <si>
    <t>TURGIS Anthony</t>
  </si>
  <si>
    <t>VELASCO Simone</t>
  </si>
  <si>
    <t>TEUNISSEN Mike</t>
  </si>
  <si>
    <t>HIGUITA Sergio</t>
  </si>
  <si>
    <t>FEDOROV Yevgeniy*</t>
  </si>
  <si>
    <t>CHAMPOUSSIN Clément</t>
  </si>
  <si>
    <t>BOL Cees</t>
  </si>
  <si>
    <t>BALLERINI Davide</t>
  </si>
  <si>
    <t>TEJADA Harold</t>
  </si>
  <si>
    <t>TOUZÉ Damien</t>
  </si>
  <si>
    <t>THOMAS Benjamin</t>
  </si>
  <si>
    <t>TEUNS Dylan</t>
  </si>
  <si>
    <t>RENARD Alexis</t>
  </si>
  <si>
    <t>IZAGIRRE Ion</t>
  </si>
  <si>
    <t>COQUARD Bryan</t>
  </si>
  <si>
    <t>BUCHMANN Emanuel</t>
  </si>
  <si>
    <t>ARANBURU Alex</t>
  </si>
  <si>
    <t>TRONCHON Bastien*</t>
  </si>
  <si>
    <t>SCOTSON Callum</t>
  </si>
  <si>
    <t>PARET-PEINTRE Aurélien</t>
  </si>
  <si>
    <t>NAESEN Oliver</t>
  </si>
  <si>
    <t>BISSEGGER Stefan</t>
  </si>
  <si>
    <t>BERTHET Clément</t>
  </si>
  <si>
    <t>ARMIRAIL Bruno</t>
  </si>
  <si>
    <t>GALL Felix</t>
  </si>
  <si>
    <t>RUBIO Einer</t>
  </si>
  <si>
    <t>ROMEO Iván*</t>
  </si>
  <si>
    <t>OLIVEIRA Nelson</t>
  </si>
  <si>
    <t>MÜHLBERGER Gregor</t>
  </si>
  <si>
    <t>GARCÍA CORTINA Iván</t>
  </si>
  <si>
    <t>CASTRILLO Pablo*</t>
  </si>
  <si>
    <t>BARTA Will</t>
  </si>
  <si>
    <t>MAS Enric</t>
  </si>
  <si>
    <t>VENTURINI Clément</t>
  </si>
  <si>
    <t>RODRÍGUEZ Cristián</t>
  </si>
  <si>
    <t>LE BERRE Mathis*</t>
  </si>
  <si>
    <t>GARCÍA PIERNA Raúl*</t>
  </si>
  <si>
    <t>DÉMARE Arnaud</t>
  </si>
  <si>
    <t>COSTIOU Ewen*</t>
  </si>
  <si>
    <t>CAPIOT Amaury</t>
  </si>
  <si>
    <t>VAUQUELIN Kévin*</t>
  </si>
  <si>
    <t>SCHMID Mauro</t>
  </si>
  <si>
    <t>REINDERS Elmar</t>
  </si>
  <si>
    <t>PLAPP Luke*</t>
  </si>
  <si>
    <t>MEZGEC Luka</t>
  </si>
  <si>
    <t>GROENEWEGEN Dylan</t>
  </si>
  <si>
    <t>DURBRIDGE Luke</t>
  </si>
  <si>
    <t>DUNBAR Eddie</t>
  </si>
  <si>
    <t>O'CONNOR Ben</t>
  </si>
  <si>
    <t>TRENTIN Matteo</t>
  </si>
  <si>
    <t>STORER Michael</t>
  </si>
  <si>
    <t>MAYRHOFER Marius*</t>
  </si>
  <si>
    <t>LIENHARD Fabian</t>
  </si>
  <si>
    <t>HIRSCHI Marc</t>
  </si>
  <si>
    <t>HALLER Marco</t>
  </si>
  <si>
    <t>DAINESE Alberto</t>
  </si>
  <si>
    <t>ALAPHILIPPE Julian</t>
  </si>
  <si>
    <t>VERSTRYNGE Emiel*</t>
  </si>
  <si>
    <t>VERMEERSCH Gianni</t>
  </si>
  <si>
    <t>RICKAERT Jonas</t>
  </si>
  <si>
    <t>PHILIPSEN Jasper</t>
  </si>
  <si>
    <t>MEURISSE Xandro</t>
  </si>
  <si>
    <t>GROVES Kaden</t>
  </si>
  <si>
    <t>DILLIER Silvan</t>
  </si>
  <si>
    <t>VAN DER POEL Mathieu</t>
  </si>
  <si>
    <t>RUSSO Clément</t>
  </si>
  <si>
    <t>PENHOËT Paul*</t>
  </si>
  <si>
    <t>PACHER Quentin</t>
  </si>
  <si>
    <t>MADOUAS Valentin</t>
  </si>
  <si>
    <t>GRÉGOIRE Romain*</t>
  </si>
  <si>
    <t>BARTHE Cyril</t>
  </si>
  <si>
    <t>ASKEY Lewis*</t>
  </si>
  <si>
    <t>MARTIN Guillaume</t>
  </si>
  <si>
    <t>THEUNS Edward</t>
  </si>
  <si>
    <t>STUYVEN Jasper</t>
  </si>
  <si>
    <t>SKUJIŅŠ Toms</t>
  </si>
  <si>
    <t>SIMMONS Quinn*</t>
  </si>
  <si>
    <t>NYS Thibau*</t>
  </si>
  <si>
    <t>MILAN Jonathan*</t>
  </si>
  <si>
    <t>CONSONNI Simone</t>
  </si>
  <si>
    <t>SKJELMOSE Mattias*</t>
  </si>
  <si>
    <t>VAN POPPEL Danny</t>
  </si>
  <si>
    <t>VAN DIJKE Mick*</t>
  </si>
  <si>
    <t>VLASOV Aleksandr</t>
  </si>
  <si>
    <t>MOSCON Gianni</t>
  </si>
  <si>
    <t>MEEUS Jordi</t>
  </si>
  <si>
    <t>ROGLIČ Primož</t>
  </si>
  <si>
    <t>WATSON Samuel*</t>
  </si>
  <si>
    <t>SWIFT Connor</t>
  </si>
  <si>
    <t>LAURANCE Axel*</t>
  </si>
  <si>
    <t>GANNA Filippo</t>
  </si>
  <si>
    <t>FOSS Tobias</t>
  </si>
  <si>
    <t>RODRÍGUEZ Carlos*</t>
  </si>
  <si>
    <t>WRIGHT Fred</t>
  </si>
  <si>
    <t>STANNARD Robert</t>
  </si>
  <si>
    <t>MOHORIČ Matej</t>
  </si>
  <si>
    <t>HAIG Jack</t>
  </si>
  <si>
    <t>GRADEK Kamil</t>
  </si>
  <si>
    <t>BUITRAGO Santiago</t>
  </si>
  <si>
    <t>ZIMMERMANN Georg</t>
  </si>
  <si>
    <t>RUTSCH Jonas</t>
  </si>
  <si>
    <t>REX Laurenz</t>
  </si>
  <si>
    <t>PAGE Hugo*</t>
  </si>
  <si>
    <t>BRAET Vito*</t>
  </si>
  <si>
    <t>BARRÉ Louis*</t>
  </si>
  <si>
    <t>GIRMAY Biniam*</t>
  </si>
  <si>
    <t>VALGREN Michael</t>
  </si>
  <si>
    <t>SWEENY Harry</t>
  </si>
  <si>
    <t>POWLESS Neilson</t>
  </si>
  <si>
    <t>HEALY Ben*</t>
  </si>
  <si>
    <t>BAUDIN Alex*</t>
  </si>
  <si>
    <t>ASGREEN Kasper</t>
  </si>
  <si>
    <t>VAN WILDER Ilan*</t>
  </si>
  <si>
    <t>SCHACHMANN Maximilian</t>
  </si>
  <si>
    <t>MERLIER Tim</t>
  </si>
  <si>
    <t>CATTANEO Mattia</t>
  </si>
  <si>
    <t>EVENEPOEL Remco*</t>
  </si>
  <si>
    <t>AFFINI Edoardo</t>
  </si>
  <si>
    <t>CAMPENAERTS Victor</t>
  </si>
  <si>
    <t>VINGEGAARD Jonas</t>
  </si>
  <si>
    <t>POLITT Nils</t>
  </si>
  <si>
    <t>PITHIE Laurence*</t>
  </si>
  <si>
    <t>LIPOWITZ Florian*</t>
  </si>
  <si>
    <t>THOMAS Geraint</t>
  </si>
  <si>
    <t>ARENSMAN Thymen</t>
  </si>
  <si>
    <t>MARTINEZ Lenny*</t>
  </si>
  <si>
    <t>BAUHAUS Phil</t>
  </si>
  <si>
    <t>VAN SINTMAARTENSDIJK Roel*</t>
  </si>
  <si>
    <t>VAN DEN BERG Marijn</t>
  </si>
  <si>
    <t>ALBANESE Vincenzo</t>
  </si>
  <si>
    <t>VAN LERBERGHE Bert</t>
  </si>
  <si>
    <t>PARET-PEINTRE Valentin*</t>
  </si>
  <si>
    <t>EENKHOORN Pascal</t>
  </si>
  <si>
    <t>YATES Simon</t>
  </si>
  <si>
    <t>VAN AERT Wout</t>
  </si>
  <si>
    <t>KUSS Sepp</t>
  </si>
  <si>
    <t>JORGENSON Matteo</t>
  </si>
  <si>
    <t>BENOOT Tiesj</t>
  </si>
  <si>
    <t>YATES Adam</t>
  </si>
  <si>
    <t>WELLENS Tim</t>
  </si>
  <si>
    <t>SOLER Marc</t>
  </si>
  <si>
    <t>SIVAKOV Pavel</t>
  </si>
  <si>
    <t>NARVÁEZ Jhonatan</t>
  </si>
  <si>
    <t>ALMEIDA João</t>
  </si>
  <si>
    <t>POGAČAR Tadej</t>
  </si>
  <si>
    <t>Naam</t>
  </si>
  <si>
    <t>Startnr</t>
  </si>
  <si>
    <t>Rouleurs 1</t>
  </si>
  <si>
    <t>Politt</t>
  </si>
  <si>
    <t>Campenaerts</t>
  </si>
  <si>
    <t>Affini</t>
  </si>
  <si>
    <t>Cattaneo</t>
  </si>
  <si>
    <t>Rouleurs 2</t>
  </si>
  <si>
    <t>Asgreen</t>
  </si>
  <si>
    <t>Foss</t>
  </si>
  <si>
    <t>Bissegger</t>
  </si>
  <si>
    <t>Oliveira</t>
  </si>
  <si>
    <t>Abrahamsen</t>
  </si>
  <si>
    <t>Rouleur 1</t>
  </si>
  <si>
    <t>Rouleur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</si>
</sst>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  <scheme val="minor"/>
    </font>
    <font>
      <sz val="10"/>
      <color rgb="FF000000"/>
      <name val="Roboto"/>
    </font>
    <font>
      <b/>
      <sz val="10"/>
      <color theme="1"/>
      <name val="Arial"/>
      <family val="2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4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right"/>
    </xf>
    <xf numFmtId="0" fontId="0" fillId="0" borderId="4" xfId="0" applyBorder="1"/>
    <xf numFmtId="0" fontId="3" fillId="0" borderId="7" xfId="0" applyFont="1" applyBorder="1"/>
    <xf numFmtId="0" fontId="9" fillId="0" borderId="0" xfId="0" applyFont="1"/>
    <xf numFmtId="0" fontId="3" fillId="0" borderId="9" xfId="0" applyFont="1" applyBorder="1"/>
    <xf numFmtId="0" fontId="3" fillId="0" borderId="3" xfId="0" applyFont="1" applyBorder="1"/>
    <xf numFmtId="0" fontId="10" fillId="0" borderId="0" xfId="0" applyFont="1"/>
    <xf numFmtId="0" fontId="11" fillId="0" borderId="0" xfId="0" applyFont="1"/>
    <xf numFmtId="0" fontId="3" fillId="0" borderId="10" xfId="0" applyFont="1" applyBorder="1"/>
    <xf numFmtId="0" fontId="3" fillId="0" borderId="11" xfId="0" applyFont="1" applyBorder="1"/>
    <xf numFmtId="0" fontId="8" fillId="0" borderId="8" xfId="0" applyFont="1" applyBorder="1" applyAlignment="1">
      <alignment horizontal="right"/>
    </xf>
    <xf numFmtId="0" fontId="3" fillId="0" borderId="10" xfId="0" applyFont="1" applyBorder="1" applyAlignment="1">
      <alignment horizontal="right"/>
    </xf>
    <xf numFmtId="0" fontId="8" fillId="0" borderId="10" xfId="0" applyFont="1" applyBorder="1"/>
    <xf numFmtId="0" fontId="8" fillId="0" borderId="8" xfId="0" applyFont="1" applyBorder="1"/>
    <xf numFmtId="0" fontId="4" fillId="0" borderId="10" xfId="0" applyFont="1" applyBorder="1"/>
    <xf numFmtId="0" fontId="7" fillId="0" borderId="1" xfId="0" applyFont="1" applyBorder="1"/>
    <xf numFmtId="0" fontId="12" fillId="0" borderId="0" xfId="0" applyFont="1"/>
    <xf numFmtId="0" fontId="13" fillId="0" borderId="0" xfId="0" applyFont="1"/>
    <xf numFmtId="0" fontId="3" fillId="0" borderId="6" xfId="0" applyFont="1" applyBorder="1"/>
    <xf numFmtId="0" fontId="3" fillId="0" borderId="12" xfId="0" applyFont="1" applyBorder="1"/>
    <xf numFmtId="0" fontId="0" fillId="0" borderId="12" xfId="0" applyBorder="1"/>
    <xf numFmtId="0" fontId="3" fillId="0" borderId="4" xfId="0" applyFont="1" applyBorder="1"/>
    <xf numFmtId="0" fontId="0" fillId="0" borderId="11" xfId="0" applyBorder="1"/>
    <xf numFmtId="0" fontId="3" fillId="0" borderId="5" xfId="0" applyFont="1" applyBorder="1"/>
    <xf numFmtId="0" fontId="14" fillId="0" borderId="0" xfId="0" applyFont="1"/>
    <xf numFmtId="0" fontId="5" fillId="0" borderId="0" xfId="0" applyFont="1"/>
    <xf numFmtId="0" fontId="4" fillId="0" borderId="13" xfId="0" applyFont="1" applyBorder="1"/>
    <xf numFmtId="0" fontId="3" fillId="0" borderId="14" xfId="0" applyFont="1" applyBorder="1"/>
    <xf numFmtId="0" fontId="0" fillId="0" borderId="14" xfId="0" applyBorder="1"/>
    <xf numFmtId="0" fontId="0" fillId="0" borderId="7" xfId="0" applyBorder="1"/>
    <xf numFmtId="0" fontId="0" fillId="0" borderId="15" xfId="0" applyBorder="1"/>
    <xf numFmtId="0" fontId="3" fillId="0" borderId="15" xfId="0" applyFont="1" applyBorder="1"/>
    <xf numFmtId="0" fontId="0" fillId="0" borderId="5" xfId="0" applyBorder="1"/>
    <xf numFmtId="0" fontId="0" fillId="0" borderId="6" xfId="0" applyBorder="1"/>
    <xf numFmtId="0" fontId="4" fillId="0" borderId="12" xfId="0" applyFont="1" applyBorder="1"/>
    <xf numFmtId="0" fontId="5" fillId="0" borderId="14" xfId="0" applyFont="1" applyBorder="1"/>
    <xf numFmtId="0" fontId="4" fillId="0" borderId="7" xfId="0" applyFont="1" applyBorder="1"/>
    <xf numFmtId="0" fontId="4" fillId="0" borderId="11" xfId="0" applyFont="1" applyBorder="1"/>
    <xf numFmtId="0" fontId="4" fillId="0" borderId="5" xfId="0" applyFont="1" applyBorder="1"/>
    <xf numFmtId="0" fontId="5" fillId="0" borderId="4" xfId="0" applyFont="1" applyBorder="1"/>
    <xf numFmtId="0" fontId="5" fillId="0" borderId="11" xfId="0" applyFont="1" applyBorder="1"/>
    <xf numFmtId="0" fontId="2" fillId="0" borderId="16" xfId="0" applyFont="1" applyBorder="1"/>
    <xf numFmtId="0" fontId="13" fillId="0" borderId="12" xfId="0" applyFont="1" applyBorder="1"/>
    <xf numFmtId="0" fontId="4" fillId="0" borderId="17" xfId="0" applyFont="1" applyBorder="1"/>
    <xf numFmtId="0" fontId="6" fillId="0" borderId="18" xfId="0" applyFont="1" applyBorder="1"/>
    <xf numFmtId="0" fontId="6" fillId="0" borderId="2" xfId="0" applyFont="1" applyBorder="1"/>
    <xf numFmtId="0" fontId="13" fillId="0" borderId="7" xfId="0" applyFont="1" applyBorder="1"/>
    <xf numFmtId="0" fontId="4" fillId="0" borderId="4" xfId="0" applyFont="1" applyBorder="1"/>
    <xf numFmtId="0" fontId="6" fillId="0" borderId="3" xfId="0" applyFont="1" applyBorder="1"/>
    <xf numFmtId="0" fontId="1" fillId="0" borderId="0" xfId="1"/>
    <xf numFmtId="0" fontId="4" fillId="0" borderId="3" xfId="0" applyFont="1" applyBorder="1"/>
    <xf numFmtId="0" fontId="10" fillId="0" borderId="19" xfId="0" applyFont="1" applyBorder="1"/>
    <xf numFmtId="0" fontId="3" fillId="0" borderId="19" xfId="0" applyFont="1" applyBorder="1"/>
    <xf numFmtId="0" fontId="3" fillId="0" borderId="19" xfId="0" applyFont="1" applyBorder="1" applyAlignment="1">
      <alignment horizontal="right"/>
    </xf>
    <xf numFmtId="0" fontId="3" fillId="0" borderId="20" xfId="0" applyFont="1" applyBorder="1" applyAlignment="1">
      <alignment horizontal="right"/>
    </xf>
    <xf numFmtId="0" fontId="3" fillId="0" borderId="18" xfId="0" applyFont="1" applyBorder="1"/>
    <xf numFmtId="0" fontId="8" fillId="0" borderId="3" xfId="0" applyFont="1" applyBorder="1"/>
    <xf numFmtId="0" fontId="11" fillId="0" borderId="16" xfId="0" applyFont="1" applyBorder="1"/>
  </cellXfs>
  <cellStyles count="2">
    <cellStyle name="Normal" xfId="0" builtinId="0"/>
    <cellStyle name="Normal 2" xfId="1" xr:uid="{4C9E7762-0AF7-45A0-97CD-BE4BC57907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17199-0C9F-4AB8-957D-26459F7EA0C1}">
  <dimension ref="B2:G39"/>
  <sheetViews>
    <sheetView tabSelected="1" workbookViewId="0">
      <selection activeCell="G20" sqref="G20"/>
    </sheetView>
  </sheetViews>
  <sheetFormatPr baseColWidth="10" defaultColWidth="8.83203125" defaultRowHeight="13" x14ac:dyDescent="0.15"/>
  <cols>
    <col min="2" max="2" width="10.33203125" customWidth="1"/>
    <col min="3" max="3" width="10.1640625" customWidth="1"/>
  </cols>
  <sheetData>
    <row r="2" spans="2:7" x14ac:dyDescent="0.15">
      <c r="B2" s="1" t="s">
        <v>19</v>
      </c>
    </row>
    <row r="3" spans="2:7" x14ac:dyDescent="0.15">
      <c r="B3" s="2" t="s">
        <v>20</v>
      </c>
    </row>
    <row r="4" spans="2:7" x14ac:dyDescent="0.15">
      <c r="B4" s="2" t="s">
        <v>21</v>
      </c>
    </row>
    <row r="5" spans="2:7" x14ac:dyDescent="0.15">
      <c r="B5" s="2" t="s">
        <v>82</v>
      </c>
    </row>
    <row r="6" spans="2:7" x14ac:dyDescent="0.15">
      <c r="B6" s="2" t="s">
        <v>89</v>
      </c>
    </row>
    <row r="7" spans="2:7" x14ac:dyDescent="0.15">
      <c r="B7" s="1" t="s">
        <v>36</v>
      </c>
    </row>
    <row r="8" spans="2:7" x14ac:dyDescent="0.15">
      <c r="B8" s="2" t="s">
        <v>37</v>
      </c>
    </row>
    <row r="9" spans="2:7" x14ac:dyDescent="0.15">
      <c r="B9" s="2" t="s">
        <v>81</v>
      </c>
    </row>
    <row r="10" spans="2:7" x14ac:dyDescent="0.15">
      <c r="F10" s="2"/>
      <c r="G10" s="2"/>
    </row>
    <row r="11" spans="2:7" x14ac:dyDescent="0.15">
      <c r="B11" s="1" t="s">
        <v>14</v>
      </c>
      <c r="C11" s="2"/>
      <c r="D11" s="2"/>
      <c r="E11" s="2"/>
      <c r="F11" s="2"/>
    </row>
    <row r="12" spans="2:7" x14ac:dyDescent="0.15">
      <c r="B12" s="1" t="s">
        <v>15</v>
      </c>
      <c r="C12" s="2"/>
      <c r="D12" s="2"/>
      <c r="E12" s="2"/>
      <c r="F12" s="2"/>
      <c r="G12" s="3"/>
    </row>
    <row r="13" spans="2:7" x14ac:dyDescent="0.15">
      <c r="B13" s="3" t="s">
        <v>16</v>
      </c>
      <c r="C13" s="3" t="s">
        <v>17</v>
      </c>
      <c r="D13" s="2"/>
      <c r="E13" s="2"/>
    </row>
    <row r="14" spans="2:7" x14ac:dyDescent="0.15">
      <c r="B14" s="4">
        <v>1</v>
      </c>
      <c r="C14" s="4">
        <v>50</v>
      </c>
      <c r="D14" s="2"/>
      <c r="E14" s="2"/>
    </row>
    <row r="15" spans="2:7" x14ac:dyDescent="0.15">
      <c r="B15" s="4">
        <v>2</v>
      </c>
      <c r="C15" s="4">
        <v>40</v>
      </c>
      <c r="D15" s="2"/>
      <c r="E15" s="2"/>
    </row>
    <row r="16" spans="2:7" x14ac:dyDescent="0.15">
      <c r="B16" s="4">
        <v>3</v>
      </c>
      <c r="C16" s="4">
        <v>32</v>
      </c>
      <c r="D16" s="2"/>
      <c r="E16" s="2"/>
    </row>
    <row r="17" spans="2:6" x14ac:dyDescent="0.15">
      <c r="B17" s="4">
        <v>4</v>
      </c>
      <c r="C17" s="4">
        <v>26</v>
      </c>
      <c r="D17" s="2"/>
      <c r="E17" s="2"/>
    </row>
    <row r="18" spans="2:6" x14ac:dyDescent="0.15">
      <c r="B18" s="4">
        <v>5</v>
      </c>
      <c r="C18" s="4">
        <v>22</v>
      </c>
      <c r="D18" s="2"/>
      <c r="E18" s="2"/>
    </row>
    <row r="19" spans="2:6" x14ac:dyDescent="0.15">
      <c r="B19" s="4">
        <v>6</v>
      </c>
      <c r="C19" s="4">
        <v>20</v>
      </c>
      <c r="D19" s="2"/>
      <c r="E19" s="2"/>
    </row>
    <row r="20" spans="2:6" x14ac:dyDescent="0.15">
      <c r="B20" s="4">
        <v>7</v>
      </c>
      <c r="C20" s="4">
        <v>18</v>
      </c>
      <c r="D20" s="2"/>
      <c r="E20" s="2"/>
    </row>
    <row r="21" spans="2:6" x14ac:dyDescent="0.15">
      <c r="B21" s="4">
        <v>8</v>
      </c>
      <c r="C21" s="4">
        <v>16</v>
      </c>
      <c r="D21" s="2"/>
      <c r="E21" s="2"/>
    </row>
    <row r="22" spans="2:6" x14ac:dyDescent="0.15">
      <c r="B22" s="4">
        <v>9</v>
      </c>
      <c r="C22" s="4">
        <v>14</v>
      </c>
      <c r="D22" s="2"/>
      <c r="E22" s="2"/>
    </row>
    <row r="23" spans="2:6" x14ac:dyDescent="0.15">
      <c r="B23" s="4">
        <v>10</v>
      </c>
      <c r="C23" s="4">
        <v>12</v>
      </c>
      <c r="D23" s="2"/>
      <c r="E23" s="2"/>
      <c r="F23" s="2"/>
    </row>
    <row r="24" spans="2:6" x14ac:dyDescent="0.15">
      <c r="B24" s="2">
        <v>11</v>
      </c>
      <c r="C24" s="2">
        <v>10</v>
      </c>
      <c r="D24" s="2"/>
      <c r="E24" s="2"/>
      <c r="F24" s="2"/>
    </row>
    <row r="25" spans="2:6" x14ac:dyDescent="0.15">
      <c r="B25" s="2">
        <v>12</v>
      </c>
      <c r="C25" s="2">
        <v>9</v>
      </c>
      <c r="E25" s="2"/>
      <c r="F25" s="2"/>
    </row>
    <row r="26" spans="2:6" x14ac:dyDescent="0.15">
      <c r="B26" s="2">
        <v>13</v>
      </c>
      <c r="C26" s="2">
        <v>8</v>
      </c>
      <c r="E26" s="2"/>
      <c r="F26" s="2"/>
    </row>
    <row r="27" spans="2:6" x14ac:dyDescent="0.15">
      <c r="B27" s="2">
        <v>14</v>
      </c>
      <c r="C27" s="2">
        <v>7</v>
      </c>
      <c r="E27" s="2"/>
      <c r="F27" s="2"/>
    </row>
    <row r="28" spans="2:6" x14ac:dyDescent="0.15">
      <c r="B28" s="2">
        <v>15</v>
      </c>
      <c r="C28" s="2">
        <v>6</v>
      </c>
      <c r="E28" s="2"/>
    </row>
    <row r="29" spans="2:6" x14ac:dyDescent="0.15">
      <c r="B29" s="2">
        <v>16</v>
      </c>
      <c r="C29" s="2">
        <v>5</v>
      </c>
    </row>
    <row r="30" spans="2:6" x14ac:dyDescent="0.15">
      <c r="B30" s="2">
        <v>17</v>
      </c>
      <c r="C30" s="2">
        <v>4</v>
      </c>
    </row>
    <row r="31" spans="2:6" x14ac:dyDescent="0.15">
      <c r="B31" s="2">
        <v>18</v>
      </c>
      <c r="C31" s="2">
        <v>3</v>
      </c>
    </row>
    <row r="32" spans="2:6" x14ac:dyDescent="0.15">
      <c r="B32" s="2">
        <v>19</v>
      </c>
      <c r="C32" s="2">
        <v>2</v>
      </c>
    </row>
    <row r="33" spans="2:4" x14ac:dyDescent="0.15">
      <c r="B33" s="2">
        <v>20</v>
      </c>
      <c r="C33" s="2">
        <v>1</v>
      </c>
    </row>
    <row r="34" spans="2:4" x14ac:dyDescent="0.15">
      <c r="D34" s="2"/>
    </row>
    <row r="35" spans="2:4" x14ac:dyDescent="0.15">
      <c r="B35" s="11" t="s">
        <v>35</v>
      </c>
      <c r="C35" s="2"/>
      <c r="D35" s="2"/>
    </row>
    <row r="36" spans="2:4" x14ac:dyDescent="0.15">
      <c r="B36" s="2" t="s">
        <v>18</v>
      </c>
      <c r="C36" s="2"/>
      <c r="D36" s="2"/>
    </row>
    <row r="37" spans="2:4" x14ac:dyDescent="0.15">
      <c r="B37" s="2" t="s">
        <v>86</v>
      </c>
      <c r="C37" s="2"/>
      <c r="D37" s="2"/>
    </row>
    <row r="38" spans="2:4" x14ac:dyDescent="0.15">
      <c r="B38" s="2" t="s">
        <v>87</v>
      </c>
      <c r="C38" s="2"/>
    </row>
    <row r="39" spans="2:4" x14ac:dyDescent="0.15">
      <c r="B39" s="2" t="s">
        <v>88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37"/>
  <sheetViews>
    <sheetView workbookViewId="0">
      <selection activeCell="G30" sqref="G30"/>
    </sheetView>
  </sheetViews>
  <sheetFormatPr baseColWidth="10" defaultColWidth="12.5" defaultRowHeight="15.75" customHeight="1" x14ac:dyDescent="0.15"/>
  <cols>
    <col min="1" max="1" width="17.5" customWidth="1"/>
    <col min="2" max="2" width="21.1640625" bestFit="1" customWidth="1"/>
    <col min="3" max="3" width="27.5" customWidth="1"/>
    <col min="4" max="4" width="13.5" customWidth="1"/>
    <col min="5" max="5" width="12.6640625" bestFit="1" customWidth="1"/>
  </cols>
  <sheetData>
    <row r="1" spans="1:5" ht="15.75" customHeight="1" x14ac:dyDescent="0.15">
      <c r="A1" s="2"/>
      <c r="B1" s="2"/>
      <c r="C1" s="2"/>
      <c r="D1" s="2"/>
    </row>
    <row r="2" spans="1:5" ht="13" x14ac:dyDescent="0.15">
      <c r="A2" s="2"/>
      <c r="B2" s="1" t="s">
        <v>22</v>
      </c>
      <c r="C2" s="2"/>
      <c r="D2" s="2"/>
    </row>
    <row r="3" spans="1:5" ht="15.75" customHeight="1" x14ac:dyDescent="0.15">
      <c r="A3" s="2"/>
      <c r="B3" s="2"/>
      <c r="C3" s="2"/>
      <c r="D3" s="2"/>
    </row>
    <row r="4" spans="1:5" ht="13" x14ac:dyDescent="0.15">
      <c r="A4" s="2"/>
      <c r="B4" s="48" t="s">
        <v>23</v>
      </c>
      <c r="C4" s="52" t="s">
        <v>24</v>
      </c>
      <c r="D4" s="49" t="s">
        <v>25</v>
      </c>
      <c r="E4" s="19" t="s">
        <v>26</v>
      </c>
    </row>
    <row r="5" spans="1:5" ht="15.75" customHeight="1" x14ac:dyDescent="0.15">
      <c r="A5" s="7" t="s">
        <v>33</v>
      </c>
      <c r="B5" s="14">
        <v>1</v>
      </c>
      <c r="C5" s="2" t="s">
        <v>90</v>
      </c>
      <c r="D5" s="17"/>
      <c r="E5" s="51" t="e">
        <f>VLOOKUP(D5,Categorieën!$B$6:$C$31,2,FALSE)</f>
        <v>#N/A</v>
      </c>
    </row>
    <row r="6" spans="1:5" ht="15.75" customHeight="1" x14ac:dyDescent="0.15">
      <c r="A6" s="2"/>
      <c r="B6" s="15">
        <v>2</v>
      </c>
      <c r="C6" s="2" t="s">
        <v>91</v>
      </c>
      <c r="D6" s="16"/>
      <c r="E6" s="51" t="e">
        <f>VLOOKUP(D6,Categorieën!$D$6:$E$31,2,FALSE)</f>
        <v>#N/A</v>
      </c>
    </row>
    <row r="7" spans="1:5" ht="15.75" customHeight="1" x14ac:dyDescent="0.15">
      <c r="A7" s="2"/>
      <c r="B7" s="15">
        <v>3</v>
      </c>
      <c r="C7" s="2" t="s">
        <v>92</v>
      </c>
      <c r="D7" s="16"/>
      <c r="E7" s="51" t="e">
        <f>VLOOKUP(D7,Categorieën!$F$6:$G$31,2,FALSE)</f>
        <v>#N/A</v>
      </c>
    </row>
    <row r="8" spans="1:5" ht="15.75" customHeight="1" x14ac:dyDescent="0.15">
      <c r="A8" s="2"/>
      <c r="B8" s="15">
        <v>4</v>
      </c>
      <c r="C8" s="2" t="s">
        <v>102</v>
      </c>
      <c r="D8" s="16"/>
      <c r="E8" s="51" t="e">
        <f>VLOOKUP(D8,Categorieën!$H$6:$I$31,2,FALSE)</f>
        <v>#N/A</v>
      </c>
    </row>
    <row r="9" spans="1:5" ht="15.75" customHeight="1" x14ac:dyDescent="0.15">
      <c r="A9" s="2"/>
      <c r="B9" s="15">
        <v>5</v>
      </c>
      <c r="C9" s="2" t="s">
        <v>101</v>
      </c>
      <c r="D9" s="16"/>
      <c r="E9" s="51" t="e">
        <f>VLOOKUP(D9,Categorieën!$J$6:$K$31,2,FALSE)</f>
        <v>#N/A</v>
      </c>
    </row>
    <row r="10" spans="1:5" ht="15.75" customHeight="1" x14ac:dyDescent="0.15">
      <c r="A10" s="2"/>
      <c r="B10" s="15">
        <v>6</v>
      </c>
      <c r="C10" s="2" t="s">
        <v>100</v>
      </c>
      <c r="D10" s="16"/>
      <c r="E10" s="51" t="e">
        <f>VLOOKUP(D10,Categorieën!$L$6:$M$31,2,FALSE)</f>
        <v>#N/A</v>
      </c>
    </row>
    <row r="11" spans="1:5" ht="15.75" customHeight="1" x14ac:dyDescent="0.15">
      <c r="A11" s="2"/>
      <c r="B11" s="15">
        <v>7</v>
      </c>
      <c r="C11" s="2" t="s">
        <v>42</v>
      </c>
      <c r="D11" s="16"/>
      <c r="E11" s="51" t="e">
        <f>VLOOKUP(D11,Categorieën!$N$6:$O$31,2,FALSE)</f>
        <v>#N/A</v>
      </c>
    </row>
    <row r="12" spans="1:5" ht="15.75" customHeight="1" x14ac:dyDescent="0.15">
      <c r="A12" s="2"/>
      <c r="B12" s="15">
        <v>8</v>
      </c>
      <c r="C12" s="2" t="s">
        <v>108</v>
      </c>
      <c r="D12" s="16"/>
      <c r="E12" s="51" t="e">
        <f>VLOOKUP(D12,Categorieën!$P$6:$Q$31,2,FALSE)</f>
        <v>#N/A</v>
      </c>
    </row>
    <row r="13" spans="1:5" ht="15.75" customHeight="1" x14ac:dyDescent="0.15">
      <c r="A13" s="2"/>
      <c r="B13" s="15">
        <v>9</v>
      </c>
      <c r="C13" s="2" t="s">
        <v>109</v>
      </c>
      <c r="D13" s="16"/>
      <c r="E13" s="51" t="e">
        <f>VLOOKUP(D13,Categorieën!$R$6:$S$31,2,FALSE)</f>
        <v>#N/A</v>
      </c>
    </row>
    <row r="14" spans="1:5" ht="15.75" customHeight="1" x14ac:dyDescent="0.15">
      <c r="A14" s="2"/>
      <c r="B14" s="15">
        <v>10</v>
      </c>
      <c r="C14" s="2" t="s">
        <v>115</v>
      </c>
      <c r="D14" s="16"/>
      <c r="E14" s="51" t="e">
        <f>VLOOKUP(D14,Categorieën!$B$6:$C$31,2,FALSE)</f>
        <v>#N/A</v>
      </c>
    </row>
    <row r="15" spans="1:5" ht="15.75" customHeight="1" x14ac:dyDescent="0.15">
      <c r="A15" s="2"/>
      <c r="B15" s="15">
        <v>11</v>
      </c>
      <c r="C15" s="2" t="s">
        <v>148</v>
      </c>
      <c r="D15" s="16"/>
      <c r="E15" s="51" t="e">
        <f>VLOOKUP(D15,Categorieën!$D$6:$E$31,2,FALSE)</f>
        <v>#N/A</v>
      </c>
    </row>
    <row r="16" spans="1:5" ht="15.75" customHeight="1" x14ac:dyDescent="0.15">
      <c r="A16" s="2"/>
      <c r="B16" s="15">
        <v>12</v>
      </c>
      <c r="C16" s="2" t="s">
        <v>117</v>
      </c>
      <c r="D16" s="16"/>
      <c r="E16" s="51" t="e">
        <f>VLOOKUP(D16,Categorieën!$F$6:$G$31,2,FALSE)</f>
        <v>#N/A</v>
      </c>
    </row>
    <row r="17" spans="1:9" ht="15.75" customHeight="1" x14ac:dyDescent="0.15">
      <c r="A17" s="2"/>
      <c r="B17" s="15">
        <v>13</v>
      </c>
      <c r="C17" s="2" t="s">
        <v>121</v>
      </c>
      <c r="D17" s="12"/>
      <c r="E17" s="51" t="e">
        <f>VLOOKUP(D17,Categorieën!$H$6:$I$31,2,FALSE)</f>
        <v>#N/A</v>
      </c>
      <c r="I17" s="2"/>
    </row>
    <row r="18" spans="1:9" ht="15.75" customHeight="1" x14ac:dyDescent="0.15">
      <c r="A18" s="2"/>
      <c r="B18" s="15">
        <v>14</v>
      </c>
      <c r="C18" s="2" t="s">
        <v>126</v>
      </c>
      <c r="D18" s="18"/>
      <c r="E18" s="51" t="e">
        <f>VLOOKUP(D18,Categorieën!$J$6:$K$31,2,FALSE)</f>
        <v>#N/A</v>
      </c>
      <c r="I18" s="2"/>
    </row>
    <row r="19" spans="1:9" ht="15.75" customHeight="1" x14ac:dyDescent="0.15">
      <c r="A19" s="2"/>
      <c r="B19" s="15">
        <v>15</v>
      </c>
      <c r="C19" s="2" t="s">
        <v>83</v>
      </c>
      <c r="D19" s="12"/>
      <c r="E19" s="51" t="e">
        <f>VLOOKUP(D19,Categorieën!$L$6:$M$31,2,FALSE)</f>
        <v>#N/A</v>
      </c>
      <c r="I19" s="2"/>
    </row>
    <row r="20" spans="1:9" ht="13" x14ac:dyDescent="0.15">
      <c r="A20" s="2"/>
      <c r="B20" s="15">
        <v>16</v>
      </c>
      <c r="C20" s="2" t="s">
        <v>34</v>
      </c>
      <c r="D20" s="12"/>
      <c r="E20" s="51" t="e">
        <f>VLOOKUP(D20,Categorieën!$N$6:$O$31,2,FALSE)</f>
        <v>#N/A</v>
      </c>
      <c r="I20" s="2"/>
    </row>
    <row r="21" spans="1:9" ht="13" x14ac:dyDescent="0.15">
      <c r="A21" s="2"/>
      <c r="B21" s="15">
        <v>17</v>
      </c>
      <c r="C21" s="2" t="s">
        <v>113</v>
      </c>
      <c r="D21" s="12"/>
      <c r="E21" s="51" t="e">
        <f>VLOOKUP(D21,Categorieën!$P$6:$Q$31,2,FALSE)</f>
        <v>#N/A</v>
      </c>
      <c r="I21" s="2"/>
    </row>
    <row r="22" spans="1:9" ht="13" x14ac:dyDescent="0.15">
      <c r="A22" s="2"/>
      <c r="B22" s="15">
        <f>B21+1</f>
        <v>18</v>
      </c>
      <c r="C22" s="2" t="s">
        <v>75</v>
      </c>
      <c r="D22" s="12"/>
      <c r="E22" s="51" t="e">
        <f>VLOOKUP(D22,Categorieën!$B$6:$C$31,2,FALSE)</f>
        <v>#N/A</v>
      </c>
      <c r="I22" s="2"/>
    </row>
    <row r="23" spans="1:9" ht="13" x14ac:dyDescent="0.15">
      <c r="A23" s="2"/>
      <c r="B23" s="15">
        <f t="shared" ref="B23:B29" si="0">B22+1</f>
        <v>19</v>
      </c>
      <c r="C23" s="2" t="s">
        <v>5</v>
      </c>
      <c r="D23" s="12"/>
      <c r="E23" s="51" t="e">
        <f>VLOOKUP(D23,Categorieën!$D$6:$E$31,2,FALSE)</f>
        <v>#N/A</v>
      </c>
      <c r="I23" s="2"/>
    </row>
    <row r="24" spans="1:9" ht="13" x14ac:dyDescent="0.15">
      <c r="A24" s="2"/>
      <c r="B24" s="15">
        <f t="shared" si="0"/>
        <v>20</v>
      </c>
      <c r="C24" s="2" t="s">
        <v>140</v>
      </c>
      <c r="D24" s="12"/>
      <c r="E24" s="51" t="e">
        <f>VLOOKUP(D24,Categorieën!$F$6:$G$31,2,FALSE)</f>
        <v>#N/A</v>
      </c>
      <c r="I24" s="11"/>
    </row>
    <row r="25" spans="1:9" ht="13" x14ac:dyDescent="0.15">
      <c r="A25" s="2"/>
      <c r="B25" s="15">
        <f t="shared" si="0"/>
        <v>21</v>
      </c>
      <c r="C25" s="2" t="s">
        <v>142</v>
      </c>
      <c r="D25" s="12"/>
      <c r="E25" s="51" t="e">
        <f>VLOOKUP(D25,Categorieën!$H$6:$I$31,2,FALSE)</f>
        <v>#N/A</v>
      </c>
      <c r="I25" s="11"/>
    </row>
    <row r="26" spans="1:9" ht="13" x14ac:dyDescent="0.15">
      <c r="B26" s="15">
        <f t="shared" si="0"/>
        <v>22</v>
      </c>
      <c r="C26" s="12" t="s">
        <v>346</v>
      </c>
      <c r="E26" s="51" t="e">
        <f>VLOOKUP(D26,Categorieën!$J$6:$K$31,2,FALSE)</f>
        <v>#N/A</v>
      </c>
      <c r="I26" s="11"/>
    </row>
    <row r="27" spans="1:9" ht="13" x14ac:dyDescent="0.15">
      <c r="B27" s="15">
        <f t="shared" si="0"/>
        <v>23</v>
      </c>
      <c r="C27" s="12" t="s">
        <v>347</v>
      </c>
      <c r="E27" s="51" t="e">
        <f>VLOOKUP(D27,Categorieën!$L$6:$M$31,2,FALSE)</f>
        <v>#N/A</v>
      </c>
    </row>
    <row r="28" spans="1:9" ht="13" x14ac:dyDescent="0.15">
      <c r="B28" s="15">
        <f t="shared" si="0"/>
        <v>24</v>
      </c>
      <c r="C28" s="12" t="s">
        <v>84</v>
      </c>
      <c r="D28" s="8"/>
      <c r="E28" s="51" t="e">
        <f>VLOOKUP(D28,'Namen totaal'!$B$2:$C$185,2,FALSE)</f>
        <v>#N/A</v>
      </c>
      <c r="H28" s="3"/>
    </row>
    <row r="29" spans="1:9" ht="13" x14ac:dyDescent="0.15">
      <c r="B29" s="15">
        <f t="shared" si="0"/>
        <v>25</v>
      </c>
      <c r="C29" s="12" t="s">
        <v>85</v>
      </c>
      <c r="D29" s="59"/>
      <c r="E29" s="51" t="e">
        <f>VLOOKUP(D29,'Namen totaal'!$B$2:$C$185,2,FALSE)</f>
        <v>#N/A</v>
      </c>
      <c r="G29" s="21"/>
    </row>
    <row r="30" spans="1:9" ht="13" x14ac:dyDescent="0.15">
      <c r="A30" s="20" t="s">
        <v>27</v>
      </c>
      <c r="B30" s="55" t="s">
        <v>32</v>
      </c>
      <c r="C30" s="60">
        <v>1</v>
      </c>
      <c r="D30" s="9"/>
      <c r="E30" s="54" t="e">
        <f>VLOOKUP(D30,'Namen totaal'!$B$2:$C$185,2,FALSE)</f>
        <v>#N/A</v>
      </c>
      <c r="H30" s="3"/>
    </row>
    <row r="31" spans="1:9" ht="15.75" customHeight="1" x14ac:dyDescent="0.15">
      <c r="A31" s="2"/>
      <c r="B31" s="56"/>
      <c r="C31" s="60">
        <v>2</v>
      </c>
      <c r="D31" s="9"/>
      <c r="E31" s="54" t="e">
        <f>VLOOKUP(D31,'Namen totaal'!$B$2:$C$185,2,FALSE)</f>
        <v>#N/A</v>
      </c>
      <c r="H31" s="1"/>
    </row>
    <row r="32" spans="1:9" ht="15.75" customHeight="1" x14ac:dyDescent="0.15">
      <c r="A32" s="2"/>
      <c r="B32" s="56"/>
      <c r="C32" s="9">
        <v>3</v>
      </c>
      <c r="D32" s="9"/>
      <c r="E32" s="54" t="e">
        <f>VLOOKUP(D32,'Namen totaal'!$B$2:$C$185,2,FALSE)</f>
        <v>#N/A</v>
      </c>
      <c r="H32" s="3"/>
    </row>
    <row r="33" spans="1:8" ht="15.75" customHeight="1" x14ac:dyDescent="0.15">
      <c r="B33" s="57" t="s">
        <v>28</v>
      </c>
      <c r="C33" s="9">
        <v>1</v>
      </c>
      <c r="D33" s="9"/>
      <c r="E33" s="54" t="e">
        <f>VLOOKUP(D33,'Namen totaal'!$B$2:$C$185,2,FALSE)</f>
        <v>#N/A</v>
      </c>
    </row>
    <row r="34" spans="1:8" ht="15.75" customHeight="1" x14ac:dyDescent="0.15">
      <c r="A34" s="2"/>
      <c r="B34" s="57" t="s">
        <v>30</v>
      </c>
      <c r="C34" s="9">
        <v>1</v>
      </c>
      <c r="D34" s="9"/>
      <c r="E34" s="54" t="e">
        <f>VLOOKUP(D34,'Namen totaal'!$B$2:$C$185,2,FALSE)</f>
        <v>#N/A</v>
      </c>
      <c r="H34" s="3"/>
    </row>
    <row r="35" spans="1:8" ht="15.75" customHeight="1" x14ac:dyDescent="0.15">
      <c r="A35" s="2"/>
      <c r="B35" s="58" t="s">
        <v>29</v>
      </c>
      <c r="C35" s="9">
        <v>1</v>
      </c>
      <c r="D35" s="9"/>
      <c r="E35" s="54" t="e">
        <f>VLOOKUP(D35,'Namen totaal'!$B$2:$C$185,2,FALSE)</f>
        <v>#N/A</v>
      </c>
    </row>
    <row r="37" spans="1:8" ht="13" x14ac:dyDescent="0.15"/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6">
        <x14:dataValidation type="list" allowBlank="1" showInputMessage="1" showErrorMessage="1" xr:uid="{46E0FC39-9BA9-4DFA-AA7F-186A71C060FA}">
          <x14:formula1>
            <xm:f>Categorieën!$B$6:$B$7</xm:f>
          </x14:formula1>
          <xm:sqref>D5</xm:sqref>
        </x14:dataValidation>
        <x14:dataValidation type="list" allowBlank="1" showInputMessage="1" showErrorMessage="1" xr:uid="{DD04B106-7475-44AD-8D2B-EF7BBFC7C0E6}">
          <x14:formula1>
            <xm:f>Categorieën!$D$6:$D$7</xm:f>
          </x14:formula1>
          <xm:sqref>D6</xm:sqref>
        </x14:dataValidation>
        <x14:dataValidation type="list" allowBlank="1" showInputMessage="1" showErrorMessage="1" xr:uid="{992DE4FD-3A8D-4F8E-B772-2A11B144658C}">
          <x14:formula1>
            <xm:f>Categorieën!$F$6:$F$8</xm:f>
          </x14:formula1>
          <xm:sqref>D7</xm:sqref>
        </x14:dataValidation>
        <x14:dataValidation type="list" allowBlank="1" showInputMessage="1" showErrorMessage="1" xr:uid="{859A11B8-27FC-417B-A170-56DC983AF35A}">
          <x14:formula1>
            <xm:f>Categorieën!$H$6:$H$8</xm:f>
          </x14:formula1>
          <xm:sqref>D8</xm:sqref>
        </x14:dataValidation>
        <x14:dataValidation type="list" allowBlank="1" showInputMessage="1" showErrorMessage="1" xr:uid="{63AA12E6-06E3-4F24-9C99-39A54F081C62}">
          <x14:formula1>
            <xm:f>Categorieën!$J$6:$J$10</xm:f>
          </x14:formula1>
          <xm:sqref>D9</xm:sqref>
        </x14:dataValidation>
        <x14:dataValidation type="list" allowBlank="1" showInputMessage="1" showErrorMessage="1" xr:uid="{8E70ED56-C5D4-4C93-A61C-58B32688AE03}">
          <x14:formula1>
            <xm:f>Categorieën!$L$6:$L$9</xm:f>
          </x14:formula1>
          <xm:sqref>D10</xm:sqref>
        </x14:dataValidation>
        <x14:dataValidation type="list" allowBlank="1" showInputMessage="1" showErrorMessage="1" xr:uid="{74401AB8-57EF-46D2-A6F8-46896827EEE8}">
          <x14:formula1>
            <xm:f>Categorieën!$N$6:$N$10</xm:f>
          </x14:formula1>
          <xm:sqref>D11</xm:sqref>
        </x14:dataValidation>
        <x14:dataValidation type="list" allowBlank="1" showInputMessage="1" showErrorMessage="1" xr:uid="{7B16D7F9-1293-4366-A720-33A13B488575}">
          <x14:formula1>
            <xm:f>Categorieën!$P$6:$P$8</xm:f>
          </x14:formula1>
          <xm:sqref>D12</xm:sqref>
        </x14:dataValidation>
        <x14:dataValidation type="list" allowBlank="1" showInputMessage="1" showErrorMessage="1" xr:uid="{0D6662C6-B6EA-4B32-BA7C-53AD3031A846}">
          <x14:formula1>
            <xm:f>Categorieën!$R$6:$R$7</xm:f>
          </x14:formula1>
          <xm:sqref>D13</xm:sqref>
        </x14:dataValidation>
        <x14:dataValidation type="list" allowBlank="1" showInputMessage="1" showErrorMessage="1" xr:uid="{954BC61F-93B5-422E-8E38-E7604D1CE104}">
          <x14:formula1>
            <xm:f>Categorieën!$B$15:$B$16</xm:f>
          </x14:formula1>
          <xm:sqref>D14</xm:sqref>
        </x14:dataValidation>
        <x14:dataValidation type="list" allowBlank="1" showInputMessage="1" showErrorMessage="1" xr:uid="{6A2E1AB4-F5CB-42B6-9C50-603E7F029115}">
          <x14:formula1>
            <xm:f>Categorieën!$D$15:$D$16</xm:f>
          </x14:formula1>
          <xm:sqref>D15</xm:sqref>
        </x14:dataValidation>
        <x14:dataValidation type="list" allowBlank="1" showInputMessage="1" showErrorMessage="1" xr:uid="{59619F09-BFE2-421E-8845-94D16354440F}">
          <x14:formula1>
            <xm:f>Categorieën!$F$15:$F$19</xm:f>
          </x14:formula1>
          <xm:sqref>D16</xm:sqref>
        </x14:dataValidation>
        <x14:dataValidation type="list" allowBlank="1" showInputMessage="1" showErrorMessage="1" xr:uid="{CA6F3E5C-99B8-4621-83BE-0D9F0492CD66}">
          <x14:formula1>
            <xm:f>Categorieën!$H$15:$H$18</xm:f>
          </x14:formula1>
          <xm:sqref>D17</xm:sqref>
        </x14:dataValidation>
        <x14:dataValidation type="list" allowBlank="1" showInputMessage="1" showErrorMessage="1" xr:uid="{C43530B7-7874-4F89-827F-C15C4DBED422}">
          <x14:formula1>
            <xm:f>Categorieën!$J$15:$J$19</xm:f>
          </x14:formula1>
          <xm:sqref>D18</xm:sqref>
        </x14:dataValidation>
        <x14:dataValidation type="list" allowBlank="1" showInputMessage="1" showErrorMessage="1" xr:uid="{54AF5CE2-0602-4654-AEFC-A2F220EBE0C6}">
          <x14:formula1>
            <xm:f>Categorieën!$L$15:$L$18</xm:f>
          </x14:formula1>
          <xm:sqref>D19</xm:sqref>
        </x14:dataValidation>
        <x14:dataValidation type="list" allowBlank="1" showInputMessage="1" showErrorMessage="1" xr:uid="{26F3011B-0807-4B8E-8CB3-AE1C2A85CD14}">
          <x14:formula1>
            <xm:f>Categorieën!$N$15:$N$19</xm:f>
          </x14:formula1>
          <xm:sqref>D20</xm:sqref>
        </x14:dataValidation>
        <x14:dataValidation type="list" allowBlank="1" showInputMessage="1" showErrorMessage="1" xr:uid="{7488CABB-F7F4-4F1E-912C-31D9C334AEB9}">
          <x14:formula1>
            <xm:f>Categorieën!$P$15:$P$16</xm:f>
          </x14:formula1>
          <xm:sqref>D21</xm:sqref>
        </x14:dataValidation>
        <x14:dataValidation type="list" allowBlank="1" showInputMessage="1" showErrorMessage="1" xr:uid="{653E78DE-302D-4741-9416-CB5BD0251C0E}">
          <x14:formula1>
            <xm:f>Categorieën!$B$24:$B$30</xm:f>
          </x14:formula1>
          <xm:sqref>D22</xm:sqref>
        </x14:dataValidation>
        <x14:dataValidation type="list" allowBlank="1" showInputMessage="1" showErrorMessage="1" xr:uid="{691A88FE-4F52-4268-8D8A-A1851FEAB8FD}">
          <x14:formula1>
            <xm:f>Categorieën!$D$24:$D$30</xm:f>
          </x14:formula1>
          <xm:sqref>D23</xm:sqref>
        </x14:dataValidation>
        <x14:dataValidation type="list" allowBlank="1" showInputMessage="1" showErrorMessage="1" xr:uid="{39861194-5147-46E1-9CDE-B830F8819E2C}">
          <x14:formula1>
            <xm:f>Categorieën!$F$24:$F$28</xm:f>
          </x14:formula1>
          <xm:sqref>D24</xm:sqref>
        </x14:dataValidation>
        <x14:dataValidation type="list" allowBlank="1" showInputMessage="1" showErrorMessage="1" xr:uid="{1330604B-F940-43FC-ACEC-31A534847044}">
          <x14:formula1>
            <xm:f>Categorieën!$H$24:$H$30</xm:f>
          </x14:formula1>
          <xm:sqref>D25</xm:sqref>
        </x14:dataValidation>
        <x14:dataValidation type="list" allowBlank="1" showInputMessage="1" showErrorMessage="1" xr:uid="{3911C972-B7AF-4FEE-8271-B90B73315512}">
          <x14:formula1>
            <xm:f>'Namen totaal'!$B$2:$B$185</xm:f>
          </x14:formula1>
          <xm:sqref>D30:D34</xm:sqref>
        </x14:dataValidation>
        <x14:dataValidation type="list" allowBlank="1" showInputMessage="1" showErrorMessage="1" xr:uid="{AB933FA2-C3A4-4B9D-A2BD-0A3781424F06}">
          <x14:formula1>
            <xm:f>'Witte trui'!$B$2:$B$49</xm:f>
          </x14:formula1>
          <xm:sqref>D35</xm:sqref>
        </x14:dataValidation>
        <x14:dataValidation type="list" allowBlank="1" showInputMessage="1" showErrorMessage="1" xr:uid="{E9CA4C32-5FA5-4416-880C-CD70E1F6598D}">
          <x14:formula1>
            <xm:f>Categorieën!$J$24:$J$27</xm:f>
          </x14:formula1>
          <xm:sqref>D26</xm:sqref>
        </x14:dataValidation>
        <x14:dataValidation type="list" allowBlank="1" showInputMessage="1" showErrorMessage="1" xr:uid="{9D6D3345-757C-4E6A-8CE7-E53ACD127D04}">
          <x14:formula1>
            <xm:f>Categorieën!$L$24:$L$28</xm:f>
          </x14:formula1>
          <xm:sqref>D27</xm:sqref>
        </x14:dataValidation>
        <x14:dataValidation type="list" allowBlank="1" showInputMessage="1" showErrorMessage="1" xr:uid="{48784B4B-2F4C-46F4-B784-357D31E955F0}">
          <x14:formula1>
            <xm:f>'Namen Jokers final'!$B$2:$B$74</xm:f>
          </x14:formula1>
          <xm:sqref>D28:D29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AL69"/>
  <sheetViews>
    <sheetView zoomScale="85" zoomScaleNormal="85" workbookViewId="0">
      <selection activeCell="K10" sqref="K10"/>
    </sheetView>
  </sheetViews>
  <sheetFormatPr baseColWidth="10" defaultColWidth="12.5" defaultRowHeight="15.75" customHeight="1" x14ac:dyDescent="0.15"/>
  <cols>
    <col min="2" max="2" width="23.5" customWidth="1"/>
    <col min="3" max="3" width="6.6640625" customWidth="1"/>
    <col min="4" max="4" width="17.33203125" customWidth="1"/>
    <col min="5" max="5" width="6.6640625" customWidth="1"/>
    <col min="6" max="6" width="18.1640625" customWidth="1"/>
    <col min="7" max="7" width="6.6640625" customWidth="1"/>
    <col min="8" max="8" width="19.33203125" customWidth="1"/>
    <col min="9" max="9" width="6.5" customWidth="1"/>
    <col min="10" max="10" width="17.83203125" customWidth="1"/>
    <col min="11" max="11" width="6.5" customWidth="1"/>
    <col min="12" max="12" width="20" bestFit="1" customWidth="1"/>
    <col min="13" max="13" width="6.5" customWidth="1"/>
    <col min="14" max="14" width="21.33203125" customWidth="1"/>
    <col min="15" max="15" width="6.5" customWidth="1"/>
    <col min="16" max="16" width="17" customWidth="1"/>
    <col min="17" max="17" width="7.5" customWidth="1"/>
    <col min="18" max="18" width="19.1640625" customWidth="1"/>
    <col min="19" max="19" width="6.83203125" customWidth="1"/>
    <col min="20" max="20" width="16.5" customWidth="1"/>
    <col min="21" max="21" width="6.83203125" customWidth="1"/>
    <col min="22" max="22" width="17" customWidth="1"/>
    <col min="23" max="23" width="6.5" customWidth="1"/>
    <col min="24" max="24" width="21.83203125" customWidth="1"/>
    <col min="25" max="25" width="6.5" customWidth="1"/>
    <col min="26" max="26" width="17.83203125" bestFit="1" customWidth="1"/>
    <col min="27" max="27" width="6.5" customWidth="1"/>
    <col min="28" max="28" width="29.5" customWidth="1"/>
    <col min="29" max="29" width="7.83203125" customWidth="1"/>
    <col min="30" max="30" width="22.6640625" customWidth="1"/>
  </cols>
  <sheetData>
    <row r="2" spans="2:38" ht="18" x14ac:dyDescent="0.2">
      <c r="B2" s="1" t="s">
        <v>0</v>
      </c>
      <c r="C2" s="2"/>
      <c r="D2" s="28" t="s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2:38" ht="15.75" customHeight="1" x14ac:dyDescent="0.15"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2:38" ht="15.75" customHeight="1" x14ac:dyDescent="0.15">
      <c r="B4" s="2" t="s">
        <v>3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Y4" s="2"/>
      <c r="Z4" s="2"/>
      <c r="AA4" s="2"/>
      <c r="AB4" s="2"/>
      <c r="AC4" s="2"/>
      <c r="AI4" s="2"/>
      <c r="AJ4" s="2"/>
      <c r="AK4" s="2"/>
      <c r="AL4" s="2"/>
    </row>
    <row r="5" spans="2:38" ht="13" x14ac:dyDescent="0.15">
      <c r="B5" s="45" t="s">
        <v>90</v>
      </c>
      <c r="C5" s="30" t="s">
        <v>4</v>
      </c>
      <c r="D5" s="45" t="s">
        <v>91</v>
      </c>
      <c r="E5" s="30" t="s">
        <v>4</v>
      </c>
      <c r="F5" s="45" t="s">
        <v>92</v>
      </c>
      <c r="G5" s="30" t="s">
        <v>4</v>
      </c>
      <c r="H5" s="45" t="s">
        <v>102</v>
      </c>
      <c r="I5" s="30" t="s">
        <v>4</v>
      </c>
      <c r="J5" s="45" t="s">
        <v>101</v>
      </c>
      <c r="K5" s="30" t="s">
        <v>4</v>
      </c>
      <c r="L5" s="45" t="s">
        <v>100</v>
      </c>
      <c r="M5" s="30" t="s">
        <v>4</v>
      </c>
      <c r="N5" s="45" t="s">
        <v>42</v>
      </c>
      <c r="O5" s="30" t="s">
        <v>4</v>
      </c>
      <c r="P5" s="45" t="s">
        <v>108</v>
      </c>
      <c r="Q5" s="30" t="s">
        <v>4</v>
      </c>
      <c r="R5" s="45" t="s">
        <v>109</v>
      </c>
      <c r="S5" s="47" t="s">
        <v>4</v>
      </c>
      <c r="Z5" s="24"/>
      <c r="AB5" s="2"/>
      <c r="AC5" s="2"/>
      <c r="AI5" s="2"/>
      <c r="AJ5" s="2"/>
      <c r="AK5" s="2"/>
      <c r="AL5" s="2"/>
    </row>
    <row r="6" spans="2:38" ht="13" x14ac:dyDescent="0.15">
      <c r="B6" s="37" t="s">
        <v>38</v>
      </c>
      <c r="C6" s="5">
        <v>1</v>
      </c>
      <c r="D6" t="s">
        <v>40</v>
      </c>
      <c r="E6">
        <v>21</v>
      </c>
      <c r="F6" s="23" t="s">
        <v>45</v>
      </c>
      <c r="G6" s="3">
        <v>17</v>
      </c>
      <c r="H6" s="22" t="s">
        <v>55</v>
      </c>
      <c r="I6" s="43">
        <v>51</v>
      </c>
      <c r="J6" t="s">
        <v>95</v>
      </c>
      <c r="K6" s="25">
        <v>91</v>
      </c>
      <c r="L6" s="22" t="s">
        <v>57</v>
      </c>
      <c r="M6" s="25">
        <v>76</v>
      </c>
      <c r="N6" s="31" t="s">
        <v>103</v>
      </c>
      <c r="O6" s="25">
        <v>5</v>
      </c>
      <c r="P6" s="22" t="s">
        <v>72</v>
      </c>
      <c r="Q6" s="25">
        <v>2</v>
      </c>
      <c r="R6" s="23" t="s">
        <v>110</v>
      </c>
      <c r="S6" s="25">
        <v>8</v>
      </c>
      <c r="AB6" s="2"/>
      <c r="AC6" s="2"/>
      <c r="AI6" s="2"/>
      <c r="AJ6" s="2"/>
      <c r="AK6" s="2"/>
      <c r="AL6" s="2"/>
    </row>
    <row r="7" spans="2:38" ht="13" x14ac:dyDescent="0.15">
      <c r="B7" s="24" t="s">
        <v>39</v>
      </c>
      <c r="C7" s="26">
        <v>11</v>
      </c>
      <c r="D7" t="s">
        <v>41</v>
      </c>
      <c r="E7">
        <v>71</v>
      </c>
      <c r="F7" s="23" t="s">
        <v>93</v>
      </c>
      <c r="G7" s="29">
        <v>64</v>
      </c>
      <c r="H7" s="23" t="s">
        <v>78</v>
      </c>
      <c r="I7" s="26">
        <v>61</v>
      </c>
      <c r="J7" t="s">
        <v>47</v>
      </c>
      <c r="K7" s="26">
        <v>151</v>
      </c>
      <c r="L7" s="23" t="s">
        <v>98</v>
      </c>
      <c r="M7" s="13">
        <v>121</v>
      </c>
      <c r="N7" s="2" t="s">
        <v>104</v>
      </c>
      <c r="O7" s="44">
        <v>6</v>
      </c>
      <c r="P7" s="23" t="s">
        <v>43</v>
      </c>
      <c r="Q7" s="13">
        <v>15</v>
      </c>
      <c r="R7" s="38" t="s">
        <v>71</v>
      </c>
      <c r="S7" s="13">
        <v>18</v>
      </c>
      <c r="AB7" s="2"/>
      <c r="AC7" s="2"/>
      <c r="AI7" s="2"/>
      <c r="AJ7" s="2"/>
      <c r="AK7" s="2"/>
      <c r="AL7" s="2"/>
    </row>
    <row r="8" spans="2:38" ht="13" x14ac:dyDescent="0.15">
      <c r="B8" s="38"/>
      <c r="C8" s="41"/>
      <c r="D8" s="3"/>
      <c r="E8" s="13"/>
      <c r="F8" s="2" t="s">
        <v>46</v>
      </c>
      <c r="G8" s="26">
        <v>101</v>
      </c>
      <c r="H8" t="s">
        <v>94</v>
      </c>
      <c r="I8" s="26">
        <v>81</v>
      </c>
      <c r="J8" t="s">
        <v>96</v>
      </c>
      <c r="K8" s="13">
        <v>221</v>
      </c>
      <c r="L8" s="38" t="s">
        <v>67</v>
      </c>
      <c r="M8" s="13">
        <v>141</v>
      </c>
      <c r="N8" s="2" t="s">
        <v>105</v>
      </c>
      <c r="O8" s="13">
        <v>16</v>
      </c>
      <c r="P8" s="38" t="s">
        <v>107</v>
      </c>
      <c r="Q8" s="13">
        <v>72</v>
      </c>
      <c r="R8" s="23"/>
      <c r="S8" s="13"/>
      <c r="AB8" s="2"/>
      <c r="AC8" s="2"/>
      <c r="AI8" s="2"/>
      <c r="AJ8" s="2"/>
      <c r="AK8" s="2"/>
      <c r="AL8" s="2"/>
    </row>
    <row r="9" spans="2:38" ht="13" x14ac:dyDescent="0.15">
      <c r="B9" s="38"/>
      <c r="C9" s="41"/>
      <c r="D9" s="2"/>
      <c r="E9" s="13"/>
      <c r="H9" s="23"/>
      <c r="I9" s="26"/>
      <c r="J9" t="s">
        <v>70</v>
      </c>
      <c r="K9" s="13">
        <v>191</v>
      </c>
      <c r="L9" s="23" t="s">
        <v>99</v>
      </c>
      <c r="M9" s="13">
        <v>67</v>
      </c>
      <c r="N9" t="s">
        <v>79</v>
      </c>
      <c r="O9" s="26">
        <v>29</v>
      </c>
      <c r="P9" s="23"/>
      <c r="Q9" s="13"/>
      <c r="R9" s="23"/>
      <c r="S9" s="13"/>
      <c r="AB9" s="2"/>
      <c r="AC9" s="2"/>
      <c r="AI9" s="2"/>
      <c r="AJ9" s="2"/>
      <c r="AK9" s="2"/>
      <c r="AL9" s="2"/>
    </row>
    <row r="10" spans="2:38" ht="13" x14ac:dyDescent="0.15">
      <c r="B10" s="38"/>
      <c r="C10" s="41"/>
      <c r="D10" s="2"/>
      <c r="E10" s="13"/>
      <c r="F10" s="24"/>
      <c r="G10" s="2"/>
      <c r="H10" s="23"/>
      <c r="I10" s="26"/>
      <c r="J10" t="s">
        <v>97</v>
      </c>
      <c r="K10" s="26">
        <v>211</v>
      </c>
      <c r="L10" s="23"/>
      <c r="M10" s="13"/>
      <c r="N10" t="s">
        <v>106</v>
      </c>
      <c r="O10" s="13">
        <v>62</v>
      </c>
      <c r="P10" s="23"/>
      <c r="Q10" s="13"/>
      <c r="R10" s="23"/>
      <c r="S10" s="13"/>
      <c r="AB10" s="2"/>
      <c r="AC10" s="2"/>
      <c r="AI10" s="2"/>
      <c r="AJ10" s="2"/>
      <c r="AK10" s="2"/>
      <c r="AL10" s="2"/>
    </row>
    <row r="11" spans="2:38" ht="13" x14ac:dyDescent="0.15">
      <c r="B11" s="40"/>
      <c r="C11" s="42"/>
      <c r="D11" s="34"/>
      <c r="E11" s="36"/>
      <c r="F11" s="6"/>
      <c r="G11" s="35"/>
      <c r="H11" s="40"/>
      <c r="I11" s="27"/>
      <c r="J11" s="34"/>
      <c r="K11" s="36"/>
      <c r="L11" s="33"/>
      <c r="M11" s="36"/>
      <c r="N11" s="34"/>
      <c r="O11" s="36"/>
      <c r="P11" s="33"/>
      <c r="Q11" s="36"/>
      <c r="R11" s="33"/>
      <c r="S11" s="36"/>
      <c r="AB11" s="2"/>
      <c r="AC11" s="2"/>
      <c r="AI11" s="2"/>
      <c r="AJ11" s="2"/>
      <c r="AK11" s="2"/>
      <c r="AL11" s="2"/>
    </row>
    <row r="12" spans="2:38" ht="13" x14ac:dyDescent="0.15">
      <c r="E12" s="2"/>
      <c r="F12" s="2"/>
      <c r="G12" s="2"/>
      <c r="H12" s="2"/>
      <c r="I12" s="2"/>
      <c r="T12" s="2"/>
      <c r="AB12" s="2"/>
      <c r="AC12" s="2"/>
      <c r="AI12" s="2"/>
      <c r="AJ12" s="2"/>
      <c r="AK12" s="2"/>
      <c r="AL12" s="2"/>
    </row>
    <row r="13" spans="2:38" ht="13" x14ac:dyDescent="0.15">
      <c r="B13" s="2" t="s">
        <v>3</v>
      </c>
      <c r="I13" s="2"/>
      <c r="L13" s="2"/>
      <c r="M13" s="2"/>
      <c r="N13" s="2"/>
      <c r="O13" s="2"/>
      <c r="R13" s="2"/>
      <c r="S13" s="2"/>
      <c r="T13" s="2"/>
      <c r="AB13" s="2"/>
      <c r="AC13" s="2"/>
      <c r="AI13" s="2"/>
      <c r="AJ13" s="2"/>
      <c r="AK13" s="2"/>
      <c r="AL13" s="2"/>
    </row>
    <row r="14" spans="2:38" ht="13" x14ac:dyDescent="0.15">
      <c r="B14" s="45" t="s">
        <v>115</v>
      </c>
      <c r="C14" s="30" t="s">
        <v>4</v>
      </c>
      <c r="D14" s="45" t="s">
        <v>148</v>
      </c>
      <c r="E14" s="30" t="s">
        <v>4</v>
      </c>
      <c r="F14" s="45" t="s">
        <v>117</v>
      </c>
      <c r="G14" s="30" t="s">
        <v>4</v>
      </c>
      <c r="H14" s="45" t="s">
        <v>121</v>
      </c>
      <c r="I14" s="30" t="s">
        <v>4</v>
      </c>
      <c r="J14" s="45" t="s">
        <v>126</v>
      </c>
      <c r="K14" s="30" t="s">
        <v>4</v>
      </c>
      <c r="L14" s="45" t="s">
        <v>83</v>
      </c>
      <c r="M14" s="30" t="s">
        <v>4</v>
      </c>
      <c r="N14" s="45" t="s">
        <v>34</v>
      </c>
      <c r="O14" s="47" t="s">
        <v>4</v>
      </c>
      <c r="P14" s="45" t="s">
        <v>113</v>
      </c>
      <c r="Q14" s="47" t="s">
        <v>4</v>
      </c>
      <c r="T14" s="2"/>
      <c r="U14" s="2"/>
      <c r="Z14" s="2"/>
      <c r="AA14" s="2"/>
      <c r="AB14" s="2"/>
      <c r="AC14" s="2"/>
      <c r="AI14" s="2"/>
      <c r="AJ14" s="2"/>
      <c r="AK14" s="2"/>
      <c r="AL14" s="2"/>
    </row>
    <row r="15" spans="2:38" ht="13" x14ac:dyDescent="0.15">
      <c r="B15" s="37" t="s">
        <v>64</v>
      </c>
      <c r="C15" s="5">
        <v>41</v>
      </c>
      <c r="D15" s="31" t="s">
        <v>116</v>
      </c>
      <c r="E15" s="25">
        <v>24</v>
      </c>
      <c r="F15" s="39" t="s">
        <v>118</v>
      </c>
      <c r="G15" s="25">
        <v>73</v>
      </c>
      <c r="H15" s="37" t="s">
        <v>122</v>
      </c>
      <c r="I15" s="5">
        <v>31</v>
      </c>
      <c r="J15" s="31" t="s">
        <v>73</v>
      </c>
      <c r="K15" s="25">
        <v>202</v>
      </c>
      <c r="L15" s="32" t="s">
        <v>51</v>
      </c>
      <c r="M15" s="5">
        <v>131</v>
      </c>
      <c r="N15" s="22" t="s">
        <v>128</v>
      </c>
      <c r="O15" s="5">
        <v>3</v>
      </c>
      <c r="P15" s="31" t="s">
        <v>111</v>
      </c>
      <c r="Q15" s="25">
        <v>25</v>
      </c>
      <c r="T15" s="2"/>
      <c r="U15" s="2"/>
      <c r="W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2:38" ht="13" x14ac:dyDescent="0.15">
      <c r="B16" s="46" t="s">
        <v>114</v>
      </c>
      <c r="C16" s="13">
        <v>83</v>
      </c>
      <c r="D16" t="s">
        <v>49</v>
      </c>
      <c r="E16" s="26">
        <v>105</v>
      </c>
      <c r="F16" t="s">
        <v>69</v>
      </c>
      <c r="G16" s="13">
        <v>124</v>
      </c>
      <c r="H16" s="46" t="s">
        <v>123</v>
      </c>
      <c r="I16" s="13">
        <v>112</v>
      </c>
      <c r="J16" s="2" t="s">
        <v>77</v>
      </c>
      <c r="K16" s="13">
        <v>228</v>
      </c>
      <c r="L16" s="2" t="s">
        <v>62</v>
      </c>
      <c r="M16" s="13">
        <v>94</v>
      </c>
      <c r="N16" s="24" t="s">
        <v>129</v>
      </c>
      <c r="O16" s="26">
        <v>27</v>
      </c>
      <c r="P16" s="2" t="s">
        <v>112</v>
      </c>
      <c r="Q16" s="44">
        <v>156</v>
      </c>
      <c r="T16" s="2"/>
      <c r="U16" s="2"/>
      <c r="W16" s="2"/>
      <c r="Y16" s="2"/>
      <c r="Z16" s="2"/>
      <c r="AB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2:38" ht="13" x14ac:dyDescent="0.15">
      <c r="B17" s="24"/>
      <c r="C17" s="26"/>
      <c r="E17" s="26"/>
      <c r="F17" s="29" t="s">
        <v>119</v>
      </c>
      <c r="G17" s="13">
        <v>103</v>
      </c>
      <c r="H17" s="24" t="s">
        <v>50</v>
      </c>
      <c r="I17" s="26">
        <v>134</v>
      </c>
      <c r="J17" s="2" t="s">
        <v>54</v>
      </c>
      <c r="K17" s="13">
        <v>52</v>
      </c>
      <c r="L17" s="2" t="s">
        <v>127</v>
      </c>
      <c r="M17" s="26">
        <v>84</v>
      </c>
      <c r="N17" s="23" t="s">
        <v>61</v>
      </c>
      <c r="O17" s="26">
        <v>38</v>
      </c>
      <c r="P17" s="2"/>
      <c r="Q17" s="13"/>
      <c r="T17" s="2"/>
      <c r="U17" s="2"/>
      <c r="W17" s="2"/>
      <c r="Y17" s="2"/>
      <c r="Z17" s="2"/>
      <c r="AB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2:38" ht="13" x14ac:dyDescent="0.15">
      <c r="B18" s="23"/>
      <c r="C18" s="26"/>
      <c r="E18" s="13"/>
      <c r="F18" t="s">
        <v>120</v>
      </c>
      <c r="G18" s="26">
        <v>192</v>
      </c>
      <c r="H18" s="23" t="s">
        <v>58</v>
      </c>
      <c r="I18" s="26">
        <v>163</v>
      </c>
      <c r="J18" s="2" t="s">
        <v>124</v>
      </c>
      <c r="K18" s="13">
        <v>186</v>
      </c>
      <c r="L18" s="23" t="s">
        <v>63</v>
      </c>
      <c r="M18" s="26">
        <v>55</v>
      </c>
      <c r="N18" s="23" t="s">
        <v>130</v>
      </c>
      <c r="O18" s="26">
        <v>75</v>
      </c>
      <c r="P18" s="2"/>
      <c r="Q18" s="26"/>
      <c r="T18" s="2"/>
      <c r="U18" s="2"/>
      <c r="W18" s="2"/>
      <c r="Y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2:38" ht="13" x14ac:dyDescent="0.15">
      <c r="B19" s="24"/>
      <c r="C19" s="26"/>
      <c r="D19" s="2"/>
      <c r="E19" s="13"/>
      <c r="F19" s="2" t="s">
        <v>56</v>
      </c>
      <c r="G19" s="13">
        <v>78</v>
      </c>
      <c r="H19" s="24"/>
      <c r="I19" s="26"/>
      <c r="J19" s="2" t="s">
        <v>125</v>
      </c>
      <c r="K19" s="13">
        <v>173</v>
      </c>
      <c r="L19" s="23"/>
      <c r="M19" s="26"/>
      <c r="N19" s="23" t="s">
        <v>131</v>
      </c>
      <c r="O19" s="26">
        <v>111</v>
      </c>
      <c r="P19" s="23"/>
      <c r="Q19" s="13"/>
      <c r="T19" s="2"/>
      <c r="U19" s="2"/>
      <c r="W19" s="2"/>
      <c r="Y19" s="2"/>
      <c r="Z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2:38" ht="13" x14ac:dyDescent="0.15">
      <c r="B20" s="33"/>
      <c r="C20" s="36"/>
      <c r="D20" s="35"/>
      <c r="E20" s="27"/>
      <c r="F20" s="34"/>
      <c r="G20" s="36"/>
      <c r="H20" s="33"/>
      <c r="I20" s="36"/>
      <c r="J20" s="34"/>
      <c r="K20" s="36"/>
      <c r="L20" s="35"/>
      <c r="M20" s="36"/>
      <c r="N20" s="6"/>
      <c r="O20" s="27"/>
      <c r="P20" s="34"/>
      <c r="Q20" s="36"/>
      <c r="V20" s="1"/>
      <c r="W20" s="1"/>
      <c r="Y20" s="1"/>
      <c r="Z20" s="1"/>
      <c r="AB20" s="1"/>
      <c r="AC20" s="1"/>
      <c r="AD20" s="1"/>
      <c r="AE20" s="2"/>
      <c r="AF20" s="2"/>
      <c r="AG20" s="1"/>
      <c r="AH20" s="2"/>
      <c r="AI20" s="1"/>
      <c r="AJ20" s="2"/>
      <c r="AK20" s="1"/>
      <c r="AL20" s="2"/>
    </row>
    <row r="21" spans="2:38" ht="13" x14ac:dyDescent="0.15">
      <c r="O21" s="2"/>
      <c r="R21" s="2"/>
      <c r="S21" s="2"/>
      <c r="V21" s="2"/>
      <c r="W21" s="2"/>
      <c r="Y21" s="2"/>
      <c r="Z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2:38" ht="13" x14ac:dyDescent="0.15">
      <c r="B22" s="2" t="s">
        <v>3</v>
      </c>
      <c r="F22" s="2"/>
      <c r="G22" s="2"/>
      <c r="H22" s="2"/>
      <c r="M22" s="2"/>
      <c r="N22" s="2"/>
      <c r="O22" s="2"/>
      <c r="R22" s="2"/>
      <c r="S22" s="2"/>
      <c r="T22" s="2"/>
      <c r="U22" s="2"/>
      <c r="V22" s="2"/>
      <c r="W22" s="2"/>
      <c r="X22" s="2"/>
      <c r="Y22" s="2"/>
      <c r="Z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2:38" ht="13" x14ac:dyDescent="0.15">
      <c r="B23" s="45" t="s">
        <v>75</v>
      </c>
      <c r="C23" s="47" t="s">
        <v>4</v>
      </c>
      <c r="D23" s="45" t="s">
        <v>5</v>
      </c>
      <c r="E23" s="30" t="s">
        <v>4</v>
      </c>
      <c r="F23" s="45" t="s">
        <v>140</v>
      </c>
      <c r="G23" s="30" t="s">
        <v>4</v>
      </c>
      <c r="H23" s="45" t="s">
        <v>142</v>
      </c>
      <c r="I23" s="47" t="s">
        <v>4</v>
      </c>
      <c r="J23" s="61" t="s">
        <v>335</v>
      </c>
      <c r="K23" s="47" t="s">
        <v>4</v>
      </c>
      <c r="L23" s="61" t="s">
        <v>340</v>
      </c>
      <c r="M23" s="47" t="s">
        <v>4</v>
      </c>
      <c r="P23" s="2"/>
      <c r="R23" s="2"/>
      <c r="S23" s="2"/>
      <c r="T23" s="2"/>
      <c r="U23" s="2"/>
      <c r="V23" s="2"/>
      <c r="W23" s="2"/>
      <c r="X23" s="2"/>
      <c r="Y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2:38" ht="13" x14ac:dyDescent="0.15">
      <c r="B24" s="22" t="s">
        <v>59</v>
      </c>
      <c r="C24" s="25">
        <v>34</v>
      </c>
      <c r="D24" s="22" t="s">
        <v>68</v>
      </c>
      <c r="E24" s="31">
        <v>161</v>
      </c>
      <c r="F24" s="37" t="s">
        <v>141</v>
      </c>
      <c r="G24" s="5">
        <v>7</v>
      </c>
      <c r="H24" s="22" t="s">
        <v>146</v>
      </c>
      <c r="I24" s="5">
        <v>23</v>
      </c>
      <c r="J24" s="24" t="s">
        <v>336</v>
      </c>
      <c r="K24" s="26">
        <v>4</v>
      </c>
      <c r="L24" s="24" t="s">
        <v>341</v>
      </c>
      <c r="M24" s="26">
        <v>32</v>
      </c>
      <c r="P24" s="1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2:38" ht="13" x14ac:dyDescent="0.15">
      <c r="B25" s="24" t="s">
        <v>60</v>
      </c>
      <c r="C25" s="26">
        <v>35</v>
      </c>
      <c r="D25" s="23" t="s">
        <v>135</v>
      </c>
      <c r="E25" s="2">
        <v>117</v>
      </c>
      <c r="F25" s="23" t="s">
        <v>44</v>
      </c>
      <c r="G25" s="13">
        <v>14</v>
      </c>
      <c r="H25" s="24" t="s">
        <v>143</v>
      </c>
      <c r="I25" s="26">
        <v>47</v>
      </c>
      <c r="J25" s="24" t="s">
        <v>337</v>
      </c>
      <c r="K25" s="26">
        <v>12</v>
      </c>
      <c r="L25" s="24" t="s">
        <v>342</v>
      </c>
      <c r="M25" s="26">
        <v>63</v>
      </c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 spans="2:38" ht="13" x14ac:dyDescent="0.15">
      <c r="B26" s="24" t="s">
        <v>132</v>
      </c>
      <c r="C26" s="13">
        <v>37</v>
      </c>
      <c r="D26" s="23" t="s">
        <v>136</v>
      </c>
      <c r="E26" s="2">
        <v>122</v>
      </c>
      <c r="F26" s="23" t="s">
        <v>66</v>
      </c>
      <c r="G26" s="13">
        <v>87</v>
      </c>
      <c r="H26" s="24" t="s">
        <v>144</v>
      </c>
      <c r="I26" s="26">
        <v>77</v>
      </c>
      <c r="J26" s="24" t="s">
        <v>338</v>
      </c>
      <c r="K26" s="26">
        <v>13</v>
      </c>
      <c r="L26" s="24" t="s">
        <v>343</v>
      </c>
      <c r="M26" s="26">
        <v>154</v>
      </c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 spans="2:38" ht="13" x14ac:dyDescent="0.15">
      <c r="B27" s="24" t="s">
        <v>53</v>
      </c>
      <c r="C27" s="13">
        <v>56</v>
      </c>
      <c r="D27" s="23" t="s">
        <v>137</v>
      </c>
      <c r="E27" s="2">
        <v>147</v>
      </c>
      <c r="F27" s="23" t="s">
        <v>48</v>
      </c>
      <c r="G27" s="13">
        <v>155</v>
      </c>
      <c r="H27" s="24" t="s">
        <v>147</v>
      </c>
      <c r="I27" s="26">
        <v>127</v>
      </c>
      <c r="J27" s="24" t="s">
        <v>339</v>
      </c>
      <c r="K27" s="26">
        <v>22</v>
      </c>
      <c r="L27" s="24" t="s">
        <v>344</v>
      </c>
      <c r="M27" s="26">
        <v>146</v>
      </c>
      <c r="P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 spans="2:38" ht="13" x14ac:dyDescent="0.15">
      <c r="B28" s="24" t="s">
        <v>133</v>
      </c>
      <c r="C28" s="13">
        <v>85</v>
      </c>
      <c r="D28" s="23" t="s">
        <v>138</v>
      </c>
      <c r="E28" s="2">
        <v>171</v>
      </c>
      <c r="F28" s="38" t="s">
        <v>74</v>
      </c>
      <c r="G28" s="13">
        <v>214</v>
      </c>
      <c r="H28" s="24" t="s">
        <v>65</v>
      </c>
      <c r="I28" s="26">
        <v>177</v>
      </c>
      <c r="J28" s="24"/>
      <c r="K28" s="26"/>
      <c r="L28" s="24" t="s">
        <v>345</v>
      </c>
      <c r="M28" s="26">
        <v>222</v>
      </c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spans="2:38" ht="13" x14ac:dyDescent="0.15">
      <c r="B29" s="24" t="s">
        <v>76</v>
      </c>
      <c r="C29" s="13">
        <v>223</v>
      </c>
      <c r="D29" s="23" t="s">
        <v>139</v>
      </c>
      <c r="E29" s="2">
        <v>201</v>
      </c>
      <c r="F29" s="24"/>
      <c r="G29" s="26"/>
      <c r="H29" s="24" t="s">
        <v>145</v>
      </c>
      <c r="I29" s="26">
        <v>197</v>
      </c>
      <c r="J29" s="24"/>
      <c r="K29" s="26"/>
      <c r="L29" s="24"/>
      <c r="M29" s="26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 spans="2:38" ht="13" x14ac:dyDescent="0.15">
      <c r="B30" s="24" t="s">
        <v>134</v>
      </c>
      <c r="C30" s="13">
        <v>114</v>
      </c>
      <c r="D30" s="23" t="s">
        <v>52</v>
      </c>
      <c r="E30" s="2">
        <v>206</v>
      </c>
      <c r="F30" s="23"/>
      <c r="G30" s="13"/>
      <c r="H30" s="24" t="s">
        <v>80</v>
      </c>
      <c r="I30" s="26">
        <v>198</v>
      </c>
      <c r="J30" s="24"/>
      <c r="K30" s="26"/>
      <c r="L30" s="24"/>
      <c r="M30" s="26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 spans="2:38" ht="13" x14ac:dyDescent="0.15">
      <c r="B31" s="33"/>
      <c r="C31" s="36"/>
      <c r="D31" s="33"/>
      <c r="E31" s="34"/>
      <c r="F31" s="33"/>
      <c r="G31" s="27"/>
      <c r="H31" s="50"/>
      <c r="I31" s="36"/>
      <c r="J31" s="33"/>
      <c r="K31" s="36"/>
      <c r="L31" s="33"/>
      <c r="M31" s="36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 spans="2:38" ht="13" x14ac:dyDescent="0.15">
      <c r="M32" s="2"/>
      <c r="N32" s="2"/>
      <c r="O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 spans="2:38" ht="13" x14ac:dyDescent="0.15">
      <c r="B33" s="2" t="s">
        <v>1</v>
      </c>
      <c r="D33" s="2"/>
      <c r="E33" s="2"/>
      <c r="F33" s="2"/>
      <c r="G33" s="2"/>
      <c r="H33" s="2"/>
      <c r="I33" s="2"/>
      <c r="J33" s="2"/>
      <c r="K33" s="2"/>
      <c r="M33" s="2"/>
      <c r="N33" s="2"/>
      <c r="O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 spans="2:38" ht="13" x14ac:dyDescent="0.15">
      <c r="B34" s="2"/>
      <c r="C34" s="2"/>
      <c r="D34" s="2"/>
      <c r="E34" s="2"/>
      <c r="F34" s="2"/>
      <c r="G34" s="2"/>
      <c r="H34" s="2"/>
      <c r="I34" s="2"/>
      <c r="J34" s="2"/>
      <c r="K34" s="2"/>
      <c r="M34" s="2"/>
      <c r="N34" s="2"/>
      <c r="O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 spans="2:38" ht="13" x14ac:dyDescent="0.15">
      <c r="B35" s="10" t="s">
        <v>31</v>
      </c>
      <c r="C35" s="2"/>
      <c r="D35" s="2"/>
      <c r="E35" s="2"/>
      <c r="F35" s="2"/>
      <c r="G35" s="2"/>
      <c r="H35" s="9"/>
      <c r="I35" s="54" t="e">
        <f>VLOOKUP(H35,'Namen totaal'!$B$2:$C$185,2,FALSE)</f>
        <v>#N/A</v>
      </c>
      <c r="J35" s="2"/>
      <c r="K35" s="2" t="s">
        <v>1</v>
      </c>
      <c r="M35" s="2"/>
      <c r="N35" s="2"/>
      <c r="O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 spans="2:38" ht="13" x14ac:dyDescent="0.15">
      <c r="B36" s="2"/>
      <c r="C36" s="2"/>
      <c r="D36" s="2"/>
      <c r="E36" s="2"/>
      <c r="F36" s="2"/>
      <c r="G36" s="2"/>
      <c r="H36" s="9"/>
      <c r="I36" s="54" t="e">
        <f>VLOOKUP(H36,'Namen totaal'!$B$2:$C$185,2,FALSE)</f>
        <v>#N/A</v>
      </c>
      <c r="J36" s="2"/>
      <c r="K36" s="2"/>
      <c r="L36" s="2"/>
      <c r="M36" s="2"/>
      <c r="N36" s="2"/>
      <c r="O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 spans="2:38" ht="13" x14ac:dyDescent="0.15">
      <c r="B37" s="2" t="s">
        <v>6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 spans="2:38" ht="13" x14ac:dyDescent="0.15">
      <c r="B38" s="2" t="s">
        <v>7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 spans="2:38" ht="13" x14ac:dyDescent="0.15">
      <c r="B39" s="2" t="s">
        <v>8</v>
      </c>
      <c r="C39" s="9"/>
      <c r="D39" s="54" t="e">
        <f>VLOOKUP(C39,'Namen totaal'!$B$2:$C$185,2,FALSE)</f>
        <v>#N/A</v>
      </c>
      <c r="E39" s="2" t="s">
        <v>1</v>
      </c>
      <c r="G39" s="2"/>
      <c r="H39" s="2"/>
      <c r="I39" s="2"/>
      <c r="J39" s="2"/>
      <c r="K39" s="2"/>
      <c r="N39" s="2"/>
      <c r="O39" s="2"/>
      <c r="R39" s="2"/>
      <c r="S39" s="2"/>
      <c r="T39" s="2"/>
    </row>
    <row r="40" spans="2:38" ht="13" x14ac:dyDescent="0.15">
      <c r="B40" s="2" t="s">
        <v>9</v>
      </c>
      <c r="C40" s="9"/>
      <c r="D40" s="54" t="e">
        <f>VLOOKUP(C40,'Namen totaal'!$B$2:$C$185,2,FALSE)</f>
        <v>#N/A</v>
      </c>
      <c r="E40" s="2"/>
      <c r="F40" s="2"/>
      <c r="G40" s="2"/>
      <c r="H40" s="2"/>
      <c r="I40" s="2"/>
      <c r="J40" s="2"/>
      <c r="K40" s="2"/>
      <c r="L40" s="2"/>
      <c r="N40" s="2"/>
      <c r="O40" s="2"/>
      <c r="R40" s="2"/>
      <c r="S40" s="2"/>
      <c r="T40" s="2"/>
    </row>
    <row r="41" spans="2:38" ht="13" x14ac:dyDescent="0.15">
      <c r="B41" s="2" t="s">
        <v>10</v>
      </c>
      <c r="C41" s="9"/>
      <c r="D41" s="54" t="e">
        <f>VLOOKUP(C41,'Namen totaal'!$B$2:$C$185,2,FALSE)</f>
        <v>#N/A</v>
      </c>
      <c r="E41" s="2"/>
      <c r="F41" s="2"/>
      <c r="G41" s="2"/>
      <c r="H41" s="2"/>
      <c r="I41" s="2"/>
      <c r="J41" s="2"/>
      <c r="K41" s="2"/>
      <c r="L41" s="2"/>
      <c r="N41" s="2"/>
      <c r="O41" s="2"/>
      <c r="R41" s="2"/>
      <c r="S41" s="2"/>
      <c r="T41" s="2"/>
    </row>
    <row r="42" spans="2:38" ht="13" x14ac:dyDescent="0.15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N42" s="2"/>
      <c r="O42" s="2"/>
      <c r="R42" s="2"/>
      <c r="S42" s="2"/>
      <c r="T42" s="2"/>
    </row>
    <row r="43" spans="2:38" ht="13" x14ac:dyDescent="0.15">
      <c r="B43" s="2" t="s">
        <v>11</v>
      </c>
      <c r="C43" s="2"/>
      <c r="D43" s="2"/>
      <c r="E43" s="2"/>
      <c r="F43" s="2"/>
      <c r="G43" s="2"/>
      <c r="H43" s="2"/>
      <c r="I43" s="2"/>
      <c r="J43" s="2"/>
      <c r="K43" s="2"/>
      <c r="L43" s="2"/>
      <c r="N43" s="2"/>
      <c r="O43" s="2"/>
      <c r="R43" s="2"/>
      <c r="S43" s="2"/>
      <c r="T43" s="2"/>
    </row>
    <row r="44" spans="2:38" ht="13" x14ac:dyDescent="0.15">
      <c r="B44" s="2" t="s">
        <v>8</v>
      </c>
      <c r="C44" s="9"/>
      <c r="D44" s="54" t="e">
        <f>VLOOKUP(C44,'Namen totaal'!$B$2:$C$185,2,FALSE)</f>
        <v>#N/A</v>
      </c>
      <c r="E44" s="2" t="s">
        <v>1</v>
      </c>
      <c r="G44" s="2"/>
      <c r="H44" s="2"/>
      <c r="I44" s="2"/>
      <c r="J44" s="2"/>
      <c r="K44" s="2"/>
      <c r="L44" s="2"/>
      <c r="N44" s="2"/>
      <c r="O44" s="2"/>
      <c r="R44" s="2"/>
      <c r="S44" s="2"/>
      <c r="T44" s="2"/>
    </row>
    <row r="45" spans="2:38" ht="13" x14ac:dyDescent="0.15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N45" s="2"/>
      <c r="O45" s="2"/>
      <c r="R45" s="2"/>
      <c r="S45" s="2"/>
      <c r="T45" s="2"/>
    </row>
    <row r="46" spans="2:38" ht="13" x14ac:dyDescent="0.15">
      <c r="B46" s="2" t="s">
        <v>12</v>
      </c>
      <c r="C46" s="2"/>
      <c r="D46" s="2"/>
      <c r="E46" s="2"/>
      <c r="F46" s="2"/>
      <c r="G46" s="2"/>
      <c r="H46" s="2"/>
      <c r="I46" s="2"/>
      <c r="J46" s="2"/>
      <c r="K46" s="2"/>
      <c r="L46" s="2"/>
      <c r="N46" s="2"/>
      <c r="O46" s="2"/>
      <c r="R46" s="2"/>
      <c r="S46" s="2"/>
      <c r="T46" s="2"/>
    </row>
    <row r="47" spans="2:38" ht="13" x14ac:dyDescent="0.15">
      <c r="B47" s="2" t="s">
        <v>8</v>
      </c>
      <c r="C47" s="9"/>
      <c r="D47" s="54" t="e">
        <f>VLOOKUP(C47,'Namen totaal'!$B$2:$C$185,2,FALSE)</f>
        <v>#N/A</v>
      </c>
      <c r="E47" s="2" t="s">
        <v>1</v>
      </c>
      <c r="G47" s="2"/>
      <c r="H47" s="2"/>
      <c r="I47" s="2"/>
      <c r="J47" s="2"/>
      <c r="K47" s="2"/>
      <c r="L47" s="2"/>
      <c r="N47" s="2"/>
      <c r="O47" s="2"/>
      <c r="R47" s="2"/>
      <c r="S47" s="2"/>
      <c r="T47" s="2"/>
    </row>
    <row r="48" spans="2:38" ht="13" x14ac:dyDescent="0.15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N48" s="2"/>
      <c r="O48" s="2"/>
      <c r="R48" s="2"/>
      <c r="S48" s="2"/>
      <c r="T48" s="2"/>
    </row>
    <row r="49" spans="2:14" ht="13" x14ac:dyDescent="0.15">
      <c r="B49" s="2" t="s">
        <v>13</v>
      </c>
      <c r="C49" s="2"/>
      <c r="D49" s="2"/>
      <c r="E49" s="2"/>
      <c r="F49" s="2"/>
      <c r="G49" s="2"/>
      <c r="H49" s="2"/>
      <c r="I49" s="2"/>
      <c r="J49" s="2"/>
      <c r="K49" s="2"/>
      <c r="L49" s="2"/>
      <c r="N49" s="2"/>
    </row>
    <row r="50" spans="2:14" ht="13" x14ac:dyDescent="0.15">
      <c r="B50" s="2" t="s">
        <v>8</v>
      </c>
      <c r="C50" s="9"/>
      <c r="D50" s="54" t="e">
        <f>VLOOKUP(C50,'Namen totaal'!$B$2:$C$185,2,FALSE)</f>
        <v>#N/A</v>
      </c>
      <c r="E50" s="2" t="s">
        <v>1</v>
      </c>
      <c r="G50" s="2"/>
      <c r="H50" s="2"/>
      <c r="I50" s="2"/>
      <c r="J50" s="2"/>
      <c r="K50" s="2"/>
      <c r="L50" s="2"/>
    </row>
    <row r="51" spans="2:14" ht="13" x14ac:dyDescent="0.15"/>
    <row r="52" spans="2:14" ht="13" x14ac:dyDescent="0.15"/>
    <row r="53" spans="2:14" ht="13" x14ac:dyDescent="0.15"/>
    <row r="54" spans="2:14" ht="13" x14ac:dyDescent="0.15"/>
    <row r="55" spans="2:14" ht="13" x14ac:dyDescent="0.15"/>
    <row r="56" spans="2:14" ht="13" x14ac:dyDescent="0.15"/>
    <row r="57" spans="2:14" ht="13" x14ac:dyDescent="0.15"/>
    <row r="58" spans="2:14" ht="13" x14ac:dyDescent="0.15"/>
    <row r="59" spans="2:14" ht="13" x14ac:dyDescent="0.15"/>
    <row r="61" spans="2:14" ht="15.75" customHeight="1" x14ac:dyDescent="0.15">
      <c r="B61" s="2"/>
      <c r="C61" s="2"/>
      <c r="D61" s="2"/>
      <c r="E61" s="2"/>
      <c r="F61" s="2"/>
    </row>
    <row r="62" spans="2:14" ht="15.75" customHeight="1" x14ac:dyDescent="0.15">
      <c r="C62" s="2"/>
      <c r="D62" s="2"/>
      <c r="E62" s="2"/>
      <c r="F62" s="2"/>
    </row>
    <row r="63" spans="2:14" ht="15.75" customHeight="1" x14ac:dyDescent="0.15">
      <c r="C63" s="2"/>
      <c r="D63" s="2"/>
      <c r="E63" s="2"/>
      <c r="F63" s="2"/>
    </row>
    <row r="64" spans="2:14" ht="15.75" customHeight="1" x14ac:dyDescent="0.15">
      <c r="C64" s="2"/>
      <c r="D64" s="2"/>
      <c r="E64" s="2"/>
      <c r="F64" s="2"/>
    </row>
    <row r="65" spans="2:6" ht="15.75" customHeight="1" x14ac:dyDescent="0.15">
      <c r="C65" s="2"/>
      <c r="D65" s="2"/>
      <c r="E65" s="2"/>
      <c r="F65" s="2"/>
    </row>
    <row r="66" spans="2:6" ht="15.75" customHeight="1" x14ac:dyDescent="0.15">
      <c r="C66" s="2"/>
      <c r="D66" s="2"/>
      <c r="E66" s="2"/>
      <c r="F66" s="2"/>
    </row>
    <row r="67" spans="2:6" ht="15.75" customHeight="1" x14ac:dyDescent="0.15">
      <c r="C67" s="2"/>
      <c r="D67" s="2"/>
      <c r="E67" s="2"/>
      <c r="F67" s="2"/>
    </row>
    <row r="68" spans="2:6" ht="15.75" customHeight="1" x14ac:dyDescent="0.15">
      <c r="C68" s="2"/>
      <c r="D68" s="2"/>
      <c r="E68" s="2"/>
      <c r="F68" s="2"/>
    </row>
    <row r="69" spans="2:6" ht="15.75" customHeight="1" x14ac:dyDescent="0.15">
      <c r="B69" s="2"/>
      <c r="C69" s="2"/>
      <c r="D69" s="2"/>
      <c r="E69" s="2"/>
      <c r="F69" s="2"/>
    </row>
  </sheetData>
  <pageMargins left="0.7" right="0.7" top="0.75" bottom="0.75" header="0.3" footer="0.3"/>
  <pageSetup paperSize="9" orientation="portrait" horizontalDpi="4294967293" verticalDpi="120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59145B0-20D7-4A34-8CC4-9C1F239E1A1C}">
          <x14:formula1>
            <xm:f>'Namen totaal'!$B$2:$B$185</xm:f>
          </x14:formula1>
          <xm:sqref>C39:C41 C44 C47</xm:sqref>
        </x14:dataValidation>
        <x14:dataValidation type="list" allowBlank="1" showInputMessage="1" showErrorMessage="1" xr:uid="{99F78C83-0B1C-41C7-BE86-45396BDD1589}">
          <x14:formula1>
            <xm:f>'Witte trui'!$B$2:$B$49</xm:f>
          </x14:formula1>
          <xm:sqref>C50</xm:sqref>
        </x14:dataValidation>
        <x14:dataValidation type="list" allowBlank="1" showInputMessage="1" showErrorMessage="1" xr:uid="{9BADDA87-35EE-4CE7-8470-9B08616CF25D}">
          <x14:formula1>
            <xm:f>'Namen Jokers final'!$B$2:$B$74</xm:f>
          </x14:formula1>
          <xm:sqref>H35:H36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361EB-9D24-4902-A846-168F04546131}">
  <dimension ref="A1:Y93"/>
  <sheetViews>
    <sheetView workbookViewId="0">
      <selection activeCell="A93" sqref="A2:A93"/>
    </sheetView>
  </sheetViews>
  <sheetFormatPr baseColWidth="10" defaultColWidth="8.83203125" defaultRowHeight="14" x14ac:dyDescent="0.15"/>
  <cols>
    <col min="1" max="16384" width="8.83203125" style="53"/>
  </cols>
  <sheetData>
    <row r="1" spans="1:25" x14ac:dyDescent="0.15">
      <c r="A1" s="53" t="s">
        <v>334</v>
      </c>
      <c r="B1" s="53" t="s">
        <v>333</v>
      </c>
    </row>
    <row r="2" spans="1:25" x14ac:dyDescent="0.15">
      <c r="A2" s="53">
        <v>152</v>
      </c>
      <c r="B2" s="53" t="s">
        <v>211</v>
      </c>
      <c r="I2" s="26"/>
      <c r="J2"/>
      <c r="X2"/>
      <c r="Y2"/>
    </row>
    <row r="3" spans="1:25" x14ac:dyDescent="0.15">
      <c r="A3" s="53">
        <v>92</v>
      </c>
      <c r="B3" s="53" t="s">
        <v>259</v>
      </c>
      <c r="H3" s="24"/>
      <c r="I3" s="26"/>
      <c r="J3"/>
      <c r="V3" s="2"/>
      <c r="W3" s="13"/>
      <c r="X3"/>
      <c r="Y3"/>
    </row>
    <row r="4" spans="1:25" x14ac:dyDescent="0.15">
      <c r="A4" s="53">
        <v>172</v>
      </c>
      <c r="B4" s="53" t="s">
        <v>195</v>
      </c>
      <c r="H4" s="23"/>
      <c r="I4" s="13"/>
      <c r="J4"/>
      <c r="V4" s="2"/>
      <c r="W4" s="26"/>
      <c r="X4"/>
      <c r="Y4"/>
    </row>
    <row r="5" spans="1:25" x14ac:dyDescent="0.15">
      <c r="A5" s="53">
        <v>193</v>
      </c>
      <c r="B5" s="53" t="s">
        <v>178</v>
      </c>
      <c r="H5" s="24"/>
      <c r="I5" s="13"/>
      <c r="J5"/>
      <c r="N5" s="24"/>
      <c r="O5" s="26"/>
      <c r="R5" s="23"/>
      <c r="S5" s="26"/>
      <c r="V5" s="23"/>
      <c r="W5" s="13"/>
      <c r="X5"/>
      <c r="Y5"/>
    </row>
    <row r="6" spans="1:25" x14ac:dyDescent="0.15">
      <c r="A6" s="53">
        <v>42</v>
      </c>
      <c r="B6" s="53" t="s">
        <v>292</v>
      </c>
      <c r="H6" s="33"/>
      <c r="I6" s="26"/>
      <c r="J6"/>
      <c r="L6" s="34"/>
      <c r="M6" s="36"/>
      <c r="N6" s="33"/>
      <c r="O6" s="36"/>
      <c r="P6" s="34"/>
      <c r="Q6" s="36"/>
      <c r="R6" s="35"/>
      <c r="S6" s="36"/>
      <c r="T6" s="6"/>
      <c r="U6" s="27"/>
      <c r="V6" s="34"/>
      <c r="W6" s="36"/>
      <c r="X6"/>
      <c r="Y6"/>
    </row>
    <row r="7" spans="1:25" x14ac:dyDescent="0.15">
      <c r="A7" s="53">
        <v>142</v>
      </c>
      <c r="B7" s="53" t="s">
        <v>219</v>
      </c>
      <c r="H7"/>
      <c r="I7" s="25"/>
      <c r="J7" s="22"/>
      <c r="L7"/>
      <c r="M7"/>
      <c r="N7"/>
      <c r="O7"/>
      <c r="P7"/>
      <c r="Q7"/>
      <c r="R7"/>
      <c r="S7"/>
      <c r="T7"/>
      <c r="U7" s="2"/>
      <c r="V7"/>
      <c r="W7"/>
      <c r="X7" s="2"/>
      <c r="Y7" s="2"/>
    </row>
    <row r="8" spans="1:25" x14ac:dyDescent="0.15">
      <c r="A8" s="53">
        <v>93</v>
      </c>
      <c r="B8" s="53" t="s">
        <v>258</v>
      </c>
      <c r="H8" s="2"/>
      <c r="I8" s="13"/>
      <c r="J8" s="23"/>
      <c r="L8" s="2"/>
      <c r="M8" s="2"/>
      <c r="N8" s="2"/>
      <c r="O8"/>
      <c r="P8"/>
      <c r="Q8"/>
      <c r="R8"/>
      <c r="S8" s="2"/>
      <c r="T8" s="2"/>
      <c r="U8" s="2"/>
      <c r="V8"/>
      <c r="W8"/>
      <c r="X8" s="2"/>
      <c r="Y8" s="2"/>
    </row>
    <row r="9" spans="1:25" x14ac:dyDescent="0.15">
      <c r="A9" s="53">
        <v>33</v>
      </c>
      <c r="B9" s="53" t="s">
        <v>298</v>
      </c>
      <c r="H9" s="45"/>
      <c r="I9" s="13"/>
      <c r="J9" s="38"/>
      <c r="L9" s="45"/>
      <c r="M9" s="30"/>
      <c r="N9" s="45"/>
      <c r="O9" s="47"/>
      <c r="P9" s="61"/>
      <c r="Q9" s="47"/>
      <c r="R9" s="61"/>
      <c r="S9" s="47"/>
      <c r="T9"/>
      <c r="U9"/>
      <c r="V9" s="2"/>
      <c r="X9" s="2"/>
      <c r="Y9" s="2"/>
    </row>
    <row r="10" spans="1:25" x14ac:dyDescent="0.15">
      <c r="A10" s="53">
        <v>212</v>
      </c>
      <c r="B10" s="53" t="s">
        <v>163</v>
      </c>
      <c r="I10" s="44"/>
      <c r="J10" s="2"/>
      <c r="T10"/>
      <c r="W10"/>
      <c r="X10" s="2"/>
      <c r="Y10" s="2"/>
    </row>
    <row r="11" spans="1:25" x14ac:dyDescent="0.15">
      <c r="A11" s="53">
        <v>153</v>
      </c>
      <c r="B11" s="53" t="s">
        <v>210</v>
      </c>
      <c r="I11" s="13"/>
      <c r="J11" s="2"/>
      <c r="T11"/>
      <c r="W11"/>
      <c r="X11" s="2"/>
      <c r="Y11" s="2"/>
    </row>
    <row r="12" spans="1:25" x14ac:dyDescent="0.15">
      <c r="A12" s="53">
        <v>194</v>
      </c>
      <c r="B12" s="53" t="s">
        <v>177</v>
      </c>
      <c r="I12" s="13"/>
      <c r="J12"/>
      <c r="L12" s="24"/>
      <c r="M12" s="26"/>
      <c r="P12" s="24"/>
      <c r="Q12" s="26"/>
      <c r="R12" s="24"/>
      <c r="S12" s="26"/>
      <c r="T12"/>
      <c r="W12"/>
      <c r="X12" s="2"/>
      <c r="Y12" s="2"/>
    </row>
    <row r="13" spans="1:25" x14ac:dyDescent="0.15">
      <c r="A13" s="53">
        <v>203</v>
      </c>
      <c r="B13" s="53" t="s">
        <v>170</v>
      </c>
      <c r="I13" s="25"/>
      <c r="J13" s="22"/>
      <c r="L13" s="23"/>
      <c r="M13" s="13"/>
      <c r="P13" s="24"/>
      <c r="Q13" s="26"/>
      <c r="R13" s="24"/>
      <c r="S13" s="26"/>
      <c r="T13"/>
      <c r="W13"/>
      <c r="X13" s="2"/>
      <c r="Y13" s="2"/>
    </row>
    <row r="14" spans="1:25" x14ac:dyDescent="0.15">
      <c r="A14" s="53">
        <v>204</v>
      </c>
      <c r="B14" s="53" t="s">
        <v>169</v>
      </c>
      <c r="H14" s="33"/>
      <c r="I14" s="13"/>
      <c r="J14" s="23"/>
      <c r="L14" s="33"/>
      <c r="M14" s="27"/>
      <c r="N14" s="50"/>
      <c r="O14" s="36"/>
      <c r="P14" s="33"/>
      <c r="Q14" s="36"/>
      <c r="R14" s="33"/>
      <c r="S14" s="36"/>
      <c r="T14"/>
      <c r="W14"/>
      <c r="X14" s="2"/>
      <c r="Y14" s="2"/>
    </row>
    <row r="15" spans="1:25" x14ac:dyDescent="0.15">
      <c r="A15" s="53">
        <v>43</v>
      </c>
      <c r="B15" s="53" t="s">
        <v>291</v>
      </c>
      <c r="I15" s="25"/>
      <c r="J15" s="23"/>
    </row>
    <row r="16" spans="1:25" x14ac:dyDescent="0.15">
      <c r="A16" s="53">
        <v>162</v>
      </c>
      <c r="B16" s="53" t="s">
        <v>203</v>
      </c>
      <c r="I16" s="13"/>
      <c r="J16" s="38"/>
    </row>
    <row r="17" spans="1:10" x14ac:dyDescent="0.15">
      <c r="A17" s="53">
        <v>182</v>
      </c>
      <c r="B17" s="53" t="s">
        <v>187</v>
      </c>
      <c r="I17" s="13"/>
      <c r="J17" s="46"/>
    </row>
    <row r="18" spans="1:10" x14ac:dyDescent="0.15">
      <c r="A18" s="53">
        <v>132</v>
      </c>
      <c r="B18" s="53" t="s">
        <v>227</v>
      </c>
      <c r="I18" s="26"/>
      <c r="J18"/>
    </row>
    <row r="19" spans="1:10" x14ac:dyDescent="0.15">
      <c r="A19" s="53">
        <v>143</v>
      </c>
      <c r="B19" s="53" t="s">
        <v>218</v>
      </c>
      <c r="I19" s="25"/>
      <c r="J19" s="39"/>
    </row>
    <row r="20" spans="1:10" x14ac:dyDescent="0.15">
      <c r="A20" s="53">
        <v>174</v>
      </c>
      <c r="B20" s="53" t="s">
        <v>193</v>
      </c>
      <c r="I20" s="13"/>
      <c r="J20" s="29"/>
    </row>
    <row r="21" spans="1:10" x14ac:dyDescent="0.15">
      <c r="A21" s="53">
        <v>82</v>
      </c>
      <c r="B21" s="53" t="s">
        <v>267</v>
      </c>
      <c r="I21" s="26"/>
      <c r="J21"/>
    </row>
    <row r="22" spans="1:10" x14ac:dyDescent="0.15">
      <c r="A22" s="53">
        <v>133</v>
      </c>
      <c r="B22" s="53" t="s">
        <v>226</v>
      </c>
      <c r="I22" s="13"/>
      <c r="J22" s="46"/>
    </row>
    <row r="23" spans="1:10" x14ac:dyDescent="0.15">
      <c r="A23" s="53">
        <v>183</v>
      </c>
      <c r="B23" s="53" t="s">
        <v>186</v>
      </c>
      <c r="I23" s="26"/>
      <c r="J23" s="24"/>
    </row>
    <row r="24" spans="1:10" x14ac:dyDescent="0.15">
      <c r="A24" s="53">
        <v>213</v>
      </c>
      <c r="B24" s="53" t="s">
        <v>162</v>
      </c>
      <c r="I24" s="25"/>
      <c r="J24" s="31"/>
    </row>
    <row r="25" spans="1:10" x14ac:dyDescent="0.15">
      <c r="A25" s="53">
        <v>184</v>
      </c>
      <c r="B25" s="53" t="s">
        <v>185</v>
      </c>
      <c r="I25" s="13"/>
      <c r="J25" s="2"/>
    </row>
    <row r="26" spans="1:10" x14ac:dyDescent="0.15">
      <c r="A26" s="53">
        <v>102</v>
      </c>
      <c r="B26" s="53" t="s">
        <v>251</v>
      </c>
      <c r="I26" s="13"/>
      <c r="J26" s="2"/>
    </row>
    <row r="27" spans="1:10" x14ac:dyDescent="0.15">
      <c r="A27" s="53">
        <v>215</v>
      </c>
      <c r="B27" s="53" t="s">
        <v>160</v>
      </c>
      <c r="I27" s="5"/>
      <c r="J27" s="32"/>
    </row>
    <row r="28" spans="1:10" x14ac:dyDescent="0.15">
      <c r="A28" s="53">
        <v>123</v>
      </c>
      <c r="B28" s="53" t="s">
        <v>234</v>
      </c>
      <c r="I28" s="26"/>
      <c r="J28" s="2"/>
    </row>
    <row r="29" spans="1:10" x14ac:dyDescent="0.15">
      <c r="A29" s="53">
        <v>175</v>
      </c>
      <c r="B29" s="53" t="s">
        <v>192</v>
      </c>
      <c r="I29" s="26"/>
      <c r="J29" s="24"/>
    </row>
    <row r="30" spans="1:10" x14ac:dyDescent="0.15">
      <c r="A30" s="53">
        <v>195</v>
      </c>
      <c r="B30" s="53" t="s">
        <v>176</v>
      </c>
      <c r="I30" s="26"/>
      <c r="J30" s="23"/>
    </row>
    <row r="31" spans="1:10" x14ac:dyDescent="0.15">
      <c r="A31" s="53">
        <v>224</v>
      </c>
      <c r="B31" s="53" t="s">
        <v>153</v>
      </c>
      <c r="I31" s="26"/>
      <c r="J31" s="23"/>
    </row>
    <row r="32" spans="1:10" x14ac:dyDescent="0.15">
      <c r="A32" s="53">
        <v>185</v>
      </c>
      <c r="B32" s="53" t="s">
        <v>184</v>
      </c>
      <c r="I32" s="25"/>
      <c r="J32" s="31"/>
    </row>
    <row r="33" spans="1:10" x14ac:dyDescent="0.15">
      <c r="A33" s="53">
        <v>144</v>
      </c>
      <c r="B33" s="53" t="s">
        <v>217</v>
      </c>
      <c r="I33" s="2"/>
      <c r="J33" s="23"/>
    </row>
    <row r="34" spans="1:10" x14ac:dyDescent="0.15">
      <c r="A34" s="53">
        <v>135</v>
      </c>
      <c r="B34" s="53" t="s">
        <v>224</v>
      </c>
      <c r="I34" s="2"/>
      <c r="J34" s="23"/>
    </row>
    <row r="35" spans="1:10" x14ac:dyDescent="0.15">
      <c r="A35" s="53">
        <v>53</v>
      </c>
      <c r="B35" s="53" t="s">
        <v>285</v>
      </c>
      <c r="I35" s="2"/>
      <c r="J35" s="23"/>
    </row>
    <row r="36" spans="1:10" x14ac:dyDescent="0.15">
      <c r="A36" s="53">
        <v>216</v>
      </c>
      <c r="B36" s="53" t="s">
        <v>159</v>
      </c>
      <c r="I36" s="2"/>
      <c r="J36" s="23"/>
    </row>
    <row r="37" spans="1:10" x14ac:dyDescent="0.15">
      <c r="A37" s="53">
        <v>54</v>
      </c>
      <c r="B37" s="53" t="s">
        <v>284</v>
      </c>
      <c r="I37" s="13"/>
      <c r="J37" s="24"/>
    </row>
    <row r="38" spans="1:10" x14ac:dyDescent="0.15">
      <c r="A38" s="53">
        <v>113</v>
      </c>
      <c r="B38" s="53" t="s">
        <v>242</v>
      </c>
      <c r="I38" s="13"/>
      <c r="J38" s="24"/>
    </row>
    <row r="39" spans="1:10" x14ac:dyDescent="0.15">
      <c r="A39" s="53">
        <v>176</v>
      </c>
      <c r="B39" s="53" t="s">
        <v>191</v>
      </c>
      <c r="I39" s="13"/>
      <c r="J39" s="24"/>
    </row>
    <row r="40" spans="1:10" x14ac:dyDescent="0.15">
      <c r="A40" s="53">
        <v>225</v>
      </c>
      <c r="B40" s="53" t="s">
        <v>152</v>
      </c>
      <c r="I40" s="5"/>
      <c r="J40" s="37"/>
    </row>
    <row r="41" spans="1:10" x14ac:dyDescent="0.15">
      <c r="A41" s="53">
        <v>164</v>
      </c>
      <c r="B41" s="53" t="s">
        <v>201</v>
      </c>
      <c r="I41" s="13"/>
      <c r="J41" s="23"/>
    </row>
    <row r="42" spans="1:10" x14ac:dyDescent="0.15">
      <c r="A42" s="53">
        <v>187</v>
      </c>
      <c r="B42" s="53" t="s">
        <v>182</v>
      </c>
      <c r="I42" s="13"/>
      <c r="J42" s="23"/>
    </row>
    <row r="43" spans="1:10" x14ac:dyDescent="0.15">
      <c r="A43" s="53">
        <v>226</v>
      </c>
      <c r="B43" s="53" t="s">
        <v>151</v>
      </c>
      <c r="I43" s="13"/>
      <c r="J43" s="38"/>
    </row>
    <row r="44" spans="1:10" x14ac:dyDescent="0.15">
      <c r="A44" s="53">
        <v>65</v>
      </c>
      <c r="B44" s="53" t="s">
        <v>277</v>
      </c>
      <c r="I44" s="26"/>
      <c r="J44" s="24"/>
    </row>
    <row r="45" spans="1:10" x14ac:dyDescent="0.15">
      <c r="A45" s="53">
        <v>136</v>
      </c>
      <c r="B45" s="53" t="s">
        <v>223</v>
      </c>
      <c r="I45" s="26"/>
      <c r="J45" s="24"/>
    </row>
    <row r="46" spans="1:10" x14ac:dyDescent="0.15">
      <c r="A46" s="53">
        <v>227</v>
      </c>
      <c r="B46" s="53" t="s">
        <v>150</v>
      </c>
      <c r="I46" s="26"/>
      <c r="J46" s="24"/>
    </row>
    <row r="47" spans="1:10" x14ac:dyDescent="0.15">
      <c r="A47" s="53">
        <v>115</v>
      </c>
      <c r="B47" s="53" t="s">
        <v>240</v>
      </c>
      <c r="I47" s="26"/>
      <c r="J47" s="24"/>
    </row>
    <row r="48" spans="1:10" x14ac:dyDescent="0.15">
      <c r="A48" s="53">
        <v>205</v>
      </c>
      <c r="B48" s="53" t="s">
        <v>168</v>
      </c>
      <c r="I48" s="26"/>
      <c r="J48" s="24"/>
    </row>
    <row r="49" spans="1:10" x14ac:dyDescent="0.15">
      <c r="A49" s="53">
        <v>95</v>
      </c>
      <c r="B49" s="53" t="s">
        <v>256</v>
      </c>
      <c r="I49" s="26"/>
      <c r="J49" s="24"/>
    </row>
    <row r="50" spans="1:10" x14ac:dyDescent="0.15">
      <c r="A50" s="53">
        <v>196</v>
      </c>
      <c r="B50" s="53" t="s">
        <v>175</v>
      </c>
      <c r="I50" s="26"/>
      <c r="J50" s="24"/>
    </row>
    <row r="51" spans="1:10" x14ac:dyDescent="0.15">
      <c r="A51" s="53">
        <v>116</v>
      </c>
      <c r="B51" s="53" t="s">
        <v>239</v>
      </c>
      <c r="I51" s="26"/>
      <c r="J51" s="24"/>
    </row>
    <row r="52" spans="1:10" x14ac:dyDescent="0.15">
      <c r="A52" s="53">
        <v>104</v>
      </c>
      <c r="B52" s="53" t="s">
        <v>249</v>
      </c>
    </row>
    <row r="53" spans="1:10" x14ac:dyDescent="0.15">
      <c r="A53" s="53">
        <v>125</v>
      </c>
      <c r="B53" s="53" t="s">
        <v>232</v>
      </c>
    </row>
    <row r="54" spans="1:10" x14ac:dyDescent="0.15">
      <c r="A54" s="53">
        <v>74</v>
      </c>
      <c r="B54" s="53" t="s">
        <v>272</v>
      </c>
    </row>
    <row r="55" spans="1:10" x14ac:dyDescent="0.15">
      <c r="A55" s="53">
        <v>145</v>
      </c>
      <c r="B55" s="53" t="s">
        <v>216</v>
      </c>
    </row>
    <row r="56" spans="1:10" x14ac:dyDescent="0.15">
      <c r="A56" s="53">
        <v>207</v>
      </c>
      <c r="B56" s="53" t="s">
        <v>166</v>
      </c>
    </row>
    <row r="57" spans="1:10" x14ac:dyDescent="0.15">
      <c r="A57" s="53">
        <v>96</v>
      </c>
      <c r="B57" s="53" t="s">
        <v>255</v>
      </c>
    </row>
    <row r="58" spans="1:10" x14ac:dyDescent="0.15">
      <c r="A58" s="53">
        <v>44</v>
      </c>
      <c r="B58" s="53" t="s">
        <v>290</v>
      </c>
    </row>
    <row r="59" spans="1:10" x14ac:dyDescent="0.15">
      <c r="A59" s="53">
        <v>97</v>
      </c>
      <c r="B59" s="53" t="s">
        <v>254</v>
      </c>
    </row>
    <row r="60" spans="1:10" x14ac:dyDescent="0.15">
      <c r="A60" s="53">
        <v>126</v>
      </c>
      <c r="B60" s="53" t="s">
        <v>231</v>
      </c>
    </row>
    <row r="61" spans="1:10" x14ac:dyDescent="0.15">
      <c r="A61" s="53">
        <v>165</v>
      </c>
      <c r="B61" s="53" t="s">
        <v>200</v>
      </c>
    </row>
    <row r="62" spans="1:10" x14ac:dyDescent="0.15">
      <c r="A62" s="53">
        <v>45</v>
      </c>
      <c r="B62" s="53" t="s">
        <v>289</v>
      </c>
    </row>
    <row r="63" spans="1:10" x14ac:dyDescent="0.15">
      <c r="A63" s="53">
        <v>106</v>
      </c>
      <c r="B63" s="53" t="s">
        <v>247</v>
      </c>
    </row>
    <row r="64" spans="1:10" x14ac:dyDescent="0.15">
      <c r="A64" s="53">
        <v>137</v>
      </c>
      <c r="B64" s="53" t="s">
        <v>222</v>
      </c>
    </row>
    <row r="65" spans="1:2" x14ac:dyDescent="0.15">
      <c r="A65" s="53">
        <v>148</v>
      </c>
      <c r="B65" s="53" t="s">
        <v>213</v>
      </c>
    </row>
    <row r="66" spans="1:2" x14ac:dyDescent="0.15">
      <c r="A66" s="53">
        <v>98</v>
      </c>
      <c r="B66" s="53" t="s">
        <v>253</v>
      </c>
    </row>
    <row r="67" spans="1:2" x14ac:dyDescent="0.15">
      <c r="A67" s="53">
        <v>46</v>
      </c>
      <c r="B67" s="53" t="s">
        <v>288</v>
      </c>
    </row>
    <row r="68" spans="1:2" x14ac:dyDescent="0.15">
      <c r="A68" s="53">
        <v>26</v>
      </c>
      <c r="B68" s="53" t="s">
        <v>301</v>
      </c>
    </row>
    <row r="69" spans="1:2" x14ac:dyDescent="0.15">
      <c r="A69" s="53">
        <v>128</v>
      </c>
      <c r="B69" s="53" t="s">
        <v>229</v>
      </c>
    </row>
    <row r="70" spans="1:2" x14ac:dyDescent="0.15">
      <c r="A70" s="53">
        <v>157</v>
      </c>
      <c r="B70" s="53" t="s">
        <v>206</v>
      </c>
    </row>
    <row r="71" spans="1:2" x14ac:dyDescent="0.15">
      <c r="A71" s="53">
        <v>217</v>
      </c>
      <c r="B71" s="53" t="s">
        <v>158</v>
      </c>
    </row>
    <row r="72" spans="1:2" x14ac:dyDescent="0.15">
      <c r="A72" s="53">
        <v>86</v>
      </c>
      <c r="B72" s="53" t="s">
        <v>263</v>
      </c>
    </row>
    <row r="73" spans="1:2" x14ac:dyDescent="0.15">
      <c r="A73" s="53">
        <v>57</v>
      </c>
      <c r="B73" s="53" t="s">
        <v>282</v>
      </c>
    </row>
    <row r="74" spans="1:2" x14ac:dyDescent="0.15">
      <c r="A74" s="53">
        <v>208</v>
      </c>
      <c r="B74" s="53" t="s">
        <v>165</v>
      </c>
    </row>
    <row r="75" spans="1:2" x14ac:dyDescent="0.15">
      <c r="A75" s="53">
        <v>36</v>
      </c>
      <c r="B75" s="53" t="s">
        <v>295</v>
      </c>
    </row>
    <row r="76" spans="1:2" x14ac:dyDescent="0.15">
      <c r="A76" s="53">
        <v>66</v>
      </c>
      <c r="B76" s="53" t="s">
        <v>276</v>
      </c>
    </row>
    <row r="77" spans="1:2" x14ac:dyDescent="0.15">
      <c r="A77" s="53">
        <v>166</v>
      </c>
      <c r="B77" s="53" t="s">
        <v>199</v>
      </c>
    </row>
    <row r="78" spans="1:2" x14ac:dyDescent="0.15">
      <c r="A78" s="53">
        <v>88</v>
      </c>
      <c r="B78" s="53" t="s">
        <v>261</v>
      </c>
    </row>
    <row r="79" spans="1:2" x14ac:dyDescent="0.15">
      <c r="A79" s="53">
        <v>167</v>
      </c>
      <c r="B79" s="53" t="s">
        <v>198</v>
      </c>
    </row>
    <row r="80" spans="1:2" x14ac:dyDescent="0.15">
      <c r="A80" s="53">
        <v>168</v>
      </c>
      <c r="B80" s="53" t="s">
        <v>197</v>
      </c>
    </row>
    <row r="81" spans="1:2" x14ac:dyDescent="0.15">
      <c r="A81" s="53">
        <v>118</v>
      </c>
      <c r="B81" s="53" t="s">
        <v>237</v>
      </c>
    </row>
    <row r="82" spans="1:2" x14ac:dyDescent="0.15">
      <c r="A82" s="53">
        <v>158</v>
      </c>
      <c r="B82" s="53" t="s">
        <v>205</v>
      </c>
    </row>
    <row r="83" spans="1:2" x14ac:dyDescent="0.15">
      <c r="A83" s="53">
        <v>181</v>
      </c>
      <c r="B83" s="53" t="s">
        <v>188</v>
      </c>
    </row>
    <row r="84" spans="1:2" x14ac:dyDescent="0.15">
      <c r="A84" s="53">
        <v>218</v>
      </c>
      <c r="B84" s="53" t="s">
        <v>157</v>
      </c>
    </row>
    <row r="85" spans="1:2" x14ac:dyDescent="0.15">
      <c r="A85" s="53">
        <v>28</v>
      </c>
      <c r="B85" s="53" t="s">
        <v>300</v>
      </c>
    </row>
    <row r="86" spans="1:2" x14ac:dyDescent="0.15">
      <c r="A86" s="53">
        <v>178</v>
      </c>
      <c r="B86" s="53" t="s">
        <v>189</v>
      </c>
    </row>
    <row r="87" spans="1:2" x14ac:dyDescent="0.15">
      <c r="A87" s="53">
        <v>138</v>
      </c>
      <c r="B87" s="53" t="s">
        <v>221</v>
      </c>
    </row>
    <row r="88" spans="1:2" x14ac:dyDescent="0.15">
      <c r="A88" s="53">
        <v>188</v>
      </c>
      <c r="B88" s="53" t="s">
        <v>181</v>
      </c>
    </row>
    <row r="89" spans="1:2" x14ac:dyDescent="0.15">
      <c r="A89" s="53">
        <v>107</v>
      </c>
      <c r="B89" s="53" t="s">
        <v>246</v>
      </c>
    </row>
    <row r="90" spans="1:2" x14ac:dyDescent="0.15">
      <c r="A90" s="53">
        <v>108</v>
      </c>
      <c r="B90" s="53" t="s">
        <v>245</v>
      </c>
    </row>
    <row r="91" spans="1:2" x14ac:dyDescent="0.15">
      <c r="A91" s="53">
        <v>68</v>
      </c>
      <c r="B91" s="53" t="s">
        <v>275</v>
      </c>
    </row>
    <row r="92" spans="1:2" x14ac:dyDescent="0.15">
      <c r="A92" s="53">
        <v>58</v>
      </c>
      <c r="B92" s="53" t="s">
        <v>281</v>
      </c>
    </row>
    <row r="93" spans="1:2" x14ac:dyDescent="0.15">
      <c r="A93" s="53">
        <v>48</v>
      </c>
      <c r="B93" s="53" t="s">
        <v>287</v>
      </c>
    </row>
  </sheetData>
  <autoFilter ref="A1:B1" xr:uid="{802361EB-9D24-4902-A846-168F04546131}">
    <sortState xmlns:xlrd2="http://schemas.microsoft.com/office/spreadsheetml/2017/richdata2" ref="A2:B144">
      <sortCondition ref="A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99D55-2594-4D29-A3D6-A06AE008715E}">
  <dimension ref="A1:C185"/>
  <sheetViews>
    <sheetView workbookViewId="0">
      <selection activeCell="A93" sqref="A2:A93"/>
    </sheetView>
  </sheetViews>
  <sheetFormatPr baseColWidth="10" defaultColWidth="8.83203125" defaultRowHeight="14" x14ac:dyDescent="0.15"/>
  <cols>
    <col min="1" max="1" width="8.83203125" style="53"/>
    <col min="2" max="2" width="31.83203125" style="53" bestFit="1" customWidth="1"/>
    <col min="3" max="3" width="8.83203125" style="53"/>
    <col min="4" max="4" width="11.83203125" style="53" bestFit="1" customWidth="1"/>
    <col min="5" max="16384" width="8.83203125" style="53"/>
  </cols>
  <sheetData>
    <row r="1" spans="1:3" x14ac:dyDescent="0.15">
      <c r="A1" s="53" t="s">
        <v>334</v>
      </c>
      <c r="B1" s="53" t="s">
        <v>333</v>
      </c>
      <c r="C1" s="53" t="s">
        <v>334</v>
      </c>
    </row>
    <row r="2" spans="1:3" x14ac:dyDescent="0.15">
      <c r="A2" s="53">
        <v>222</v>
      </c>
      <c r="B2" s="53" t="s">
        <v>155</v>
      </c>
      <c r="C2" s="53">
        <v>222</v>
      </c>
    </row>
    <row r="3" spans="1:3" x14ac:dyDescent="0.15">
      <c r="A3" s="53">
        <v>202</v>
      </c>
      <c r="B3" s="53" t="s">
        <v>171</v>
      </c>
      <c r="C3" s="53">
        <v>202</v>
      </c>
    </row>
    <row r="4" spans="1:3" x14ac:dyDescent="0.15">
      <c r="A4" s="53">
        <v>13</v>
      </c>
      <c r="B4" s="53" t="s">
        <v>305</v>
      </c>
      <c r="C4" s="53">
        <v>13</v>
      </c>
    </row>
    <row r="5" spans="1:3" x14ac:dyDescent="0.15">
      <c r="A5" s="53">
        <v>111</v>
      </c>
      <c r="B5" s="53" t="s">
        <v>244</v>
      </c>
      <c r="C5" s="53">
        <v>111</v>
      </c>
    </row>
    <row r="6" spans="1:3" x14ac:dyDescent="0.15">
      <c r="A6" s="53">
        <v>31</v>
      </c>
      <c r="B6" s="53" t="s">
        <v>317</v>
      </c>
      <c r="C6" s="53">
        <v>31</v>
      </c>
    </row>
    <row r="7" spans="1:3" x14ac:dyDescent="0.15">
      <c r="A7" s="53">
        <v>2</v>
      </c>
      <c r="B7" s="53" t="s">
        <v>331</v>
      </c>
      <c r="C7" s="53">
        <v>2</v>
      </c>
    </row>
    <row r="8" spans="1:3" x14ac:dyDescent="0.15">
      <c r="A8" s="53">
        <v>192</v>
      </c>
      <c r="B8" s="53" t="s">
        <v>179</v>
      </c>
      <c r="C8" s="53">
        <v>192</v>
      </c>
    </row>
    <row r="9" spans="1:3" x14ac:dyDescent="0.15">
      <c r="A9" s="53">
        <v>161</v>
      </c>
      <c r="B9" s="53" t="s">
        <v>204</v>
      </c>
      <c r="C9" s="53">
        <v>161</v>
      </c>
    </row>
    <row r="10" spans="1:3" x14ac:dyDescent="0.15">
      <c r="A10" s="53">
        <v>62</v>
      </c>
      <c r="B10" s="53" t="s">
        <v>312</v>
      </c>
      <c r="C10" s="53">
        <v>62</v>
      </c>
    </row>
    <row r="11" spans="1:3" x14ac:dyDescent="0.15">
      <c r="A11" s="53">
        <v>152</v>
      </c>
      <c r="B11" s="53" t="s">
        <v>211</v>
      </c>
      <c r="C11" s="53">
        <v>152</v>
      </c>
    </row>
    <row r="12" spans="1:3" x14ac:dyDescent="0.15">
      <c r="A12" s="53">
        <v>32</v>
      </c>
      <c r="B12" s="53" t="s">
        <v>299</v>
      </c>
      <c r="C12" s="53">
        <v>32</v>
      </c>
    </row>
    <row r="13" spans="1:3" x14ac:dyDescent="0.15">
      <c r="A13" s="53">
        <v>92</v>
      </c>
      <c r="B13" s="53" t="s">
        <v>259</v>
      </c>
      <c r="C13" s="53">
        <v>92</v>
      </c>
    </row>
    <row r="14" spans="1:3" x14ac:dyDescent="0.15">
      <c r="A14" s="53">
        <v>172</v>
      </c>
      <c r="B14" s="53" t="s">
        <v>195</v>
      </c>
      <c r="C14" s="53">
        <v>172</v>
      </c>
    </row>
    <row r="15" spans="1:3" x14ac:dyDescent="0.15">
      <c r="A15" s="53">
        <v>193</v>
      </c>
      <c r="B15" s="53" t="s">
        <v>178</v>
      </c>
      <c r="C15" s="53">
        <v>193</v>
      </c>
    </row>
    <row r="16" spans="1:3" x14ac:dyDescent="0.15">
      <c r="A16" s="53">
        <v>42</v>
      </c>
      <c r="B16" s="53" t="s">
        <v>292</v>
      </c>
      <c r="C16" s="53">
        <v>42</v>
      </c>
    </row>
    <row r="17" spans="1:3" x14ac:dyDescent="0.15">
      <c r="A17" s="53">
        <v>142</v>
      </c>
      <c r="B17" s="53" t="s">
        <v>219</v>
      </c>
      <c r="C17" s="53">
        <v>142</v>
      </c>
    </row>
    <row r="18" spans="1:3" x14ac:dyDescent="0.15">
      <c r="A18" s="53">
        <v>93</v>
      </c>
      <c r="B18" s="53" t="s">
        <v>258</v>
      </c>
      <c r="C18" s="53">
        <v>93</v>
      </c>
    </row>
    <row r="19" spans="1:3" x14ac:dyDescent="0.15">
      <c r="A19" s="53">
        <v>33</v>
      </c>
      <c r="B19" s="53" t="s">
        <v>298</v>
      </c>
      <c r="C19" s="53">
        <v>33</v>
      </c>
    </row>
    <row r="20" spans="1:3" x14ac:dyDescent="0.15">
      <c r="A20" s="53">
        <v>52</v>
      </c>
      <c r="B20" s="53" t="s">
        <v>314</v>
      </c>
      <c r="C20" s="53">
        <v>52</v>
      </c>
    </row>
    <row r="21" spans="1:3" x14ac:dyDescent="0.15">
      <c r="A21" s="53">
        <v>14</v>
      </c>
      <c r="B21" s="53" t="s">
        <v>325</v>
      </c>
      <c r="C21" s="53">
        <v>14</v>
      </c>
    </row>
    <row r="22" spans="1:3" x14ac:dyDescent="0.15">
      <c r="A22" s="53">
        <v>212</v>
      </c>
      <c r="B22" s="53" t="s">
        <v>163</v>
      </c>
      <c r="C22" s="53">
        <v>212</v>
      </c>
    </row>
    <row r="23" spans="1:3" x14ac:dyDescent="0.15">
      <c r="A23" s="53">
        <v>153</v>
      </c>
      <c r="B23" s="53" t="s">
        <v>210</v>
      </c>
      <c r="C23" s="53">
        <v>153</v>
      </c>
    </row>
    <row r="24" spans="1:3" x14ac:dyDescent="0.15">
      <c r="A24" s="53">
        <v>154</v>
      </c>
      <c r="B24" s="53" t="s">
        <v>209</v>
      </c>
      <c r="C24" s="53">
        <v>154</v>
      </c>
    </row>
    <row r="25" spans="1:3" x14ac:dyDescent="0.15">
      <c r="A25" s="53">
        <v>194</v>
      </c>
      <c r="B25" s="53" t="s">
        <v>177</v>
      </c>
      <c r="C25" s="53">
        <v>194</v>
      </c>
    </row>
    <row r="26" spans="1:3" x14ac:dyDescent="0.15">
      <c r="A26" s="53">
        <v>203</v>
      </c>
      <c r="B26" s="53" t="s">
        <v>170</v>
      </c>
      <c r="C26" s="53">
        <v>203</v>
      </c>
    </row>
    <row r="27" spans="1:3" x14ac:dyDescent="0.15">
      <c r="A27" s="53">
        <v>204</v>
      </c>
      <c r="B27" s="53" t="s">
        <v>169</v>
      </c>
      <c r="C27" s="53">
        <v>204</v>
      </c>
    </row>
    <row r="28" spans="1:3" x14ac:dyDescent="0.15">
      <c r="A28" s="53">
        <v>173</v>
      </c>
      <c r="B28" s="53" t="s">
        <v>194</v>
      </c>
      <c r="C28" s="53">
        <v>173</v>
      </c>
    </row>
    <row r="29" spans="1:3" x14ac:dyDescent="0.15">
      <c r="A29" s="53">
        <v>43</v>
      </c>
      <c r="B29" s="53" t="s">
        <v>291</v>
      </c>
      <c r="C29" s="53">
        <v>43</v>
      </c>
    </row>
    <row r="30" spans="1:3" x14ac:dyDescent="0.15">
      <c r="A30" s="53">
        <v>162</v>
      </c>
      <c r="B30" s="53" t="s">
        <v>203</v>
      </c>
      <c r="C30" s="53">
        <v>162</v>
      </c>
    </row>
    <row r="31" spans="1:3" x14ac:dyDescent="0.15">
      <c r="A31" s="53">
        <v>51</v>
      </c>
      <c r="B31" s="53" t="s">
        <v>286</v>
      </c>
      <c r="C31" s="53">
        <v>51</v>
      </c>
    </row>
    <row r="32" spans="1:3" x14ac:dyDescent="0.15">
      <c r="A32" s="53">
        <v>182</v>
      </c>
      <c r="B32" s="53" t="s">
        <v>187</v>
      </c>
      <c r="C32" s="53">
        <v>182</v>
      </c>
    </row>
    <row r="33" spans="1:3" x14ac:dyDescent="0.15">
      <c r="A33" s="53">
        <v>12</v>
      </c>
      <c r="B33" s="53" t="s">
        <v>306</v>
      </c>
      <c r="C33" s="53">
        <v>12</v>
      </c>
    </row>
    <row r="34" spans="1:3" x14ac:dyDescent="0.15">
      <c r="A34" s="53">
        <v>132</v>
      </c>
      <c r="B34" s="53" t="s">
        <v>227</v>
      </c>
      <c r="C34" s="53">
        <v>132</v>
      </c>
    </row>
    <row r="35" spans="1:3" x14ac:dyDescent="0.15">
      <c r="A35" s="53">
        <v>143</v>
      </c>
      <c r="B35" s="53" t="s">
        <v>218</v>
      </c>
      <c r="C35" s="53">
        <v>143</v>
      </c>
    </row>
    <row r="36" spans="1:3" x14ac:dyDescent="0.15">
      <c r="A36" s="53">
        <v>22</v>
      </c>
      <c r="B36" s="53" t="s">
        <v>303</v>
      </c>
      <c r="C36" s="53">
        <v>22</v>
      </c>
    </row>
    <row r="37" spans="1:3" x14ac:dyDescent="0.15">
      <c r="A37" s="53">
        <v>174</v>
      </c>
      <c r="B37" s="53" t="s">
        <v>193</v>
      </c>
      <c r="C37" s="53">
        <v>174</v>
      </c>
    </row>
    <row r="38" spans="1:3" x14ac:dyDescent="0.15">
      <c r="A38" s="53">
        <v>82</v>
      </c>
      <c r="B38" s="53" t="s">
        <v>267</v>
      </c>
      <c r="C38" s="53">
        <v>82</v>
      </c>
    </row>
    <row r="39" spans="1:3" x14ac:dyDescent="0.15">
      <c r="A39" s="53">
        <v>163</v>
      </c>
      <c r="B39" s="53" t="s">
        <v>202</v>
      </c>
      <c r="C39" s="53">
        <v>163</v>
      </c>
    </row>
    <row r="40" spans="1:3" x14ac:dyDescent="0.15">
      <c r="A40" s="53">
        <v>223</v>
      </c>
      <c r="B40" s="53" t="s">
        <v>154</v>
      </c>
      <c r="C40" s="53">
        <v>223</v>
      </c>
    </row>
    <row r="41" spans="1:3" x14ac:dyDescent="0.15">
      <c r="A41" s="53">
        <v>133</v>
      </c>
      <c r="B41" s="53" t="s">
        <v>226</v>
      </c>
      <c r="C41" s="53">
        <v>133</v>
      </c>
    </row>
    <row r="42" spans="1:3" x14ac:dyDescent="0.15">
      <c r="A42" s="53">
        <v>183</v>
      </c>
      <c r="B42" s="53" t="s">
        <v>186</v>
      </c>
      <c r="C42" s="53">
        <v>183</v>
      </c>
    </row>
    <row r="43" spans="1:3" x14ac:dyDescent="0.15">
      <c r="A43" s="53">
        <v>112</v>
      </c>
      <c r="B43" s="53" t="s">
        <v>243</v>
      </c>
      <c r="C43" s="53">
        <v>112</v>
      </c>
    </row>
    <row r="44" spans="1:3" x14ac:dyDescent="0.15">
      <c r="A44" s="53">
        <v>213</v>
      </c>
      <c r="B44" s="53" t="s">
        <v>162</v>
      </c>
      <c r="C44" s="53">
        <v>213</v>
      </c>
    </row>
    <row r="45" spans="1:3" x14ac:dyDescent="0.15">
      <c r="A45" s="53">
        <v>214</v>
      </c>
      <c r="B45" s="53" t="s">
        <v>161</v>
      </c>
      <c r="C45" s="53">
        <v>214</v>
      </c>
    </row>
    <row r="46" spans="1:3" x14ac:dyDescent="0.15">
      <c r="A46" s="53">
        <v>184</v>
      </c>
      <c r="B46" s="53" t="s">
        <v>185</v>
      </c>
      <c r="C46" s="53">
        <v>184</v>
      </c>
    </row>
    <row r="47" spans="1:3" x14ac:dyDescent="0.15">
      <c r="A47" s="53">
        <v>134</v>
      </c>
      <c r="B47" s="53" t="s">
        <v>225</v>
      </c>
      <c r="C47" s="53">
        <v>134</v>
      </c>
    </row>
    <row r="48" spans="1:3" x14ac:dyDescent="0.15">
      <c r="A48" s="53">
        <v>102</v>
      </c>
      <c r="B48" s="53" t="s">
        <v>251</v>
      </c>
      <c r="C48" s="53">
        <v>102</v>
      </c>
    </row>
    <row r="49" spans="1:3" x14ac:dyDescent="0.15">
      <c r="A49" s="53">
        <v>215</v>
      </c>
      <c r="B49" s="53" t="s">
        <v>160</v>
      </c>
      <c r="C49" s="53">
        <v>215</v>
      </c>
    </row>
    <row r="50" spans="1:3" x14ac:dyDescent="0.15">
      <c r="A50" s="53">
        <v>122</v>
      </c>
      <c r="B50" s="53" t="s">
        <v>235</v>
      </c>
      <c r="C50" s="53">
        <v>122</v>
      </c>
    </row>
    <row r="51" spans="1:3" x14ac:dyDescent="0.15">
      <c r="A51" s="53">
        <v>123</v>
      </c>
      <c r="B51" s="53" t="s">
        <v>234</v>
      </c>
      <c r="C51" s="53">
        <v>123</v>
      </c>
    </row>
    <row r="52" spans="1:3" x14ac:dyDescent="0.15">
      <c r="A52" s="53">
        <v>23</v>
      </c>
      <c r="B52" s="53" t="s">
        <v>320</v>
      </c>
      <c r="C52" s="53">
        <v>23</v>
      </c>
    </row>
    <row r="53" spans="1:3" x14ac:dyDescent="0.15">
      <c r="A53" s="53">
        <v>21</v>
      </c>
      <c r="B53" s="53" t="s">
        <v>304</v>
      </c>
      <c r="C53" s="53">
        <v>21</v>
      </c>
    </row>
    <row r="54" spans="1:3" x14ac:dyDescent="0.15">
      <c r="A54" s="53">
        <v>175</v>
      </c>
      <c r="B54" s="53" t="s">
        <v>192</v>
      </c>
      <c r="C54" s="53">
        <v>175</v>
      </c>
    </row>
    <row r="55" spans="1:3" x14ac:dyDescent="0.15">
      <c r="A55" s="53">
        <v>195</v>
      </c>
      <c r="B55" s="53" t="s">
        <v>176</v>
      </c>
      <c r="C55" s="53">
        <v>195</v>
      </c>
    </row>
    <row r="56" spans="1:3" x14ac:dyDescent="0.15">
      <c r="A56" s="53">
        <v>63</v>
      </c>
      <c r="B56" s="53" t="s">
        <v>279</v>
      </c>
      <c r="C56" s="53">
        <v>63</v>
      </c>
    </row>
    <row r="57" spans="1:3" x14ac:dyDescent="0.15">
      <c r="A57" s="53">
        <v>224</v>
      </c>
      <c r="B57" s="53" t="s">
        <v>153</v>
      </c>
      <c r="C57" s="53">
        <v>224</v>
      </c>
    </row>
    <row r="58" spans="1:3" x14ac:dyDescent="0.15">
      <c r="A58" s="53">
        <v>185</v>
      </c>
      <c r="B58" s="53" t="s">
        <v>184</v>
      </c>
      <c r="C58" s="53">
        <v>185</v>
      </c>
    </row>
    <row r="59" spans="1:3" x14ac:dyDescent="0.15">
      <c r="A59" s="53">
        <v>151</v>
      </c>
      <c r="B59" s="53" t="s">
        <v>212</v>
      </c>
      <c r="C59" s="53">
        <v>151</v>
      </c>
    </row>
    <row r="60" spans="1:3" x14ac:dyDescent="0.15">
      <c r="A60" s="53">
        <v>64</v>
      </c>
      <c r="B60" s="53" t="s">
        <v>278</v>
      </c>
      <c r="C60" s="53">
        <v>64</v>
      </c>
    </row>
    <row r="61" spans="1:3" x14ac:dyDescent="0.15">
      <c r="A61" s="53">
        <v>144</v>
      </c>
      <c r="B61" s="53" t="s">
        <v>217</v>
      </c>
      <c r="C61" s="53">
        <v>144</v>
      </c>
    </row>
    <row r="62" spans="1:3" x14ac:dyDescent="0.15">
      <c r="A62" s="53">
        <v>135</v>
      </c>
      <c r="B62" s="53" t="s">
        <v>224</v>
      </c>
      <c r="C62" s="53">
        <v>135</v>
      </c>
    </row>
    <row r="63" spans="1:3" x14ac:dyDescent="0.15">
      <c r="A63" s="53">
        <v>41</v>
      </c>
      <c r="B63" s="53" t="s">
        <v>293</v>
      </c>
      <c r="C63" s="53">
        <v>41</v>
      </c>
    </row>
    <row r="64" spans="1:3" x14ac:dyDescent="0.15">
      <c r="A64" s="53">
        <v>53</v>
      </c>
      <c r="B64" s="53" t="s">
        <v>285</v>
      </c>
      <c r="C64" s="53">
        <v>53</v>
      </c>
    </row>
    <row r="65" spans="1:3" x14ac:dyDescent="0.15">
      <c r="A65" s="53">
        <v>94</v>
      </c>
      <c r="B65" s="53" t="s">
        <v>257</v>
      </c>
      <c r="C65" s="53">
        <v>94</v>
      </c>
    </row>
    <row r="66" spans="1:3" x14ac:dyDescent="0.15">
      <c r="A66" s="53">
        <v>216</v>
      </c>
      <c r="B66" s="53" t="s">
        <v>159</v>
      </c>
      <c r="C66" s="53">
        <v>216</v>
      </c>
    </row>
    <row r="67" spans="1:3" x14ac:dyDescent="0.15">
      <c r="A67" s="53">
        <v>124</v>
      </c>
      <c r="B67" s="53" t="s">
        <v>233</v>
      </c>
      <c r="C67" s="53">
        <v>124</v>
      </c>
    </row>
    <row r="68" spans="1:3" x14ac:dyDescent="0.15">
      <c r="A68" s="53">
        <v>103</v>
      </c>
      <c r="B68" s="53" t="s">
        <v>250</v>
      </c>
      <c r="C68" s="53">
        <v>103</v>
      </c>
    </row>
    <row r="69" spans="1:3" x14ac:dyDescent="0.15">
      <c r="A69" s="53">
        <v>54</v>
      </c>
      <c r="B69" s="53" t="s">
        <v>284</v>
      </c>
      <c r="C69" s="53">
        <v>54</v>
      </c>
    </row>
    <row r="70" spans="1:3" x14ac:dyDescent="0.15">
      <c r="A70" s="53">
        <v>113</v>
      </c>
      <c r="B70" s="53" t="s">
        <v>242</v>
      </c>
      <c r="C70" s="53">
        <v>113</v>
      </c>
    </row>
    <row r="71" spans="1:3" x14ac:dyDescent="0.15">
      <c r="A71" s="53">
        <v>34</v>
      </c>
      <c r="B71" s="53" t="s">
        <v>297</v>
      </c>
      <c r="C71" s="53">
        <v>34</v>
      </c>
    </row>
    <row r="72" spans="1:3" x14ac:dyDescent="0.15">
      <c r="A72" s="53">
        <v>176</v>
      </c>
      <c r="B72" s="53" t="s">
        <v>191</v>
      </c>
      <c r="C72" s="53">
        <v>176</v>
      </c>
    </row>
    <row r="73" spans="1:3" x14ac:dyDescent="0.15">
      <c r="A73" s="53">
        <v>114</v>
      </c>
      <c r="B73" s="53" t="s">
        <v>241</v>
      </c>
      <c r="C73" s="53">
        <v>114</v>
      </c>
    </row>
    <row r="74" spans="1:3" x14ac:dyDescent="0.15">
      <c r="A74" s="53">
        <v>225</v>
      </c>
      <c r="B74" s="53" t="s">
        <v>152</v>
      </c>
      <c r="C74" s="53">
        <v>225</v>
      </c>
    </row>
    <row r="75" spans="1:3" x14ac:dyDescent="0.15">
      <c r="A75" s="53">
        <v>164</v>
      </c>
      <c r="B75" s="53" t="s">
        <v>201</v>
      </c>
      <c r="C75" s="53">
        <v>164</v>
      </c>
    </row>
    <row r="76" spans="1:3" x14ac:dyDescent="0.15">
      <c r="A76" s="53">
        <v>186</v>
      </c>
      <c r="B76" s="53" t="s">
        <v>183</v>
      </c>
      <c r="C76" s="53">
        <v>186</v>
      </c>
    </row>
    <row r="77" spans="1:3" x14ac:dyDescent="0.15">
      <c r="A77" s="53">
        <v>187</v>
      </c>
      <c r="B77" s="53" t="s">
        <v>182</v>
      </c>
      <c r="C77" s="53">
        <v>187</v>
      </c>
    </row>
    <row r="78" spans="1:3" x14ac:dyDescent="0.15">
      <c r="A78" s="53">
        <v>226</v>
      </c>
      <c r="B78" s="53" t="s">
        <v>151</v>
      </c>
      <c r="C78" s="53">
        <v>226</v>
      </c>
    </row>
    <row r="79" spans="1:3" x14ac:dyDescent="0.15">
      <c r="A79" s="53">
        <v>221</v>
      </c>
      <c r="B79" s="53" t="s">
        <v>156</v>
      </c>
      <c r="C79" s="53">
        <v>221</v>
      </c>
    </row>
    <row r="80" spans="1:3" x14ac:dyDescent="0.15">
      <c r="A80" s="53">
        <v>15</v>
      </c>
      <c r="B80" s="53" t="s">
        <v>324</v>
      </c>
      <c r="C80" s="53">
        <v>15</v>
      </c>
    </row>
    <row r="81" spans="1:3" x14ac:dyDescent="0.15">
      <c r="A81" s="53">
        <v>16</v>
      </c>
      <c r="B81" s="53" t="s">
        <v>323</v>
      </c>
      <c r="C81" s="53">
        <v>16</v>
      </c>
    </row>
    <row r="82" spans="1:3" x14ac:dyDescent="0.15">
      <c r="A82" s="53">
        <v>65</v>
      </c>
      <c r="B82" s="53" t="s">
        <v>277</v>
      </c>
      <c r="C82" s="53">
        <v>65</v>
      </c>
    </row>
    <row r="83" spans="1:3" x14ac:dyDescent="0.15">
      <c r="A83" s="53">
        <v>136</v>
      </c>
      <c r="B83" s="53" t="s">
        <v>223</v>
      </c>
      <c r="C83" s="53">
        <v>136</v>
      </c>
    </row>
    <row r="84" spans="1:3" x14ac:dyDescent="0.15">
      <c r="A84" s="53">
        <v>227</v>
      </c>
      <c r="B84" s="53" t="s">
        <v>150</v>
      </c>
      <c r="C84" s="53">
        <v>227</v>
      </c>
    </row>
    <row r="85" spans="1:3" x14ac:dyDescent="0.15">
      <c r="A85" s="53">
        <v>115</v>
      </c>
      <c r="B85" s="53" t="s">
        <v>240</v>
      </c>
      <c r="C85" s="53">
        <v>115</v>
      </c>
    </row>
    <row r="86" spans="1:3" x14ac:dyDescent="0.15">
      <c r="A86" s="53">
        <v>72</v>
      </c>
      <c r="B86" s="53" t="s">
        <v>310</v>
      </c>
      <c r="C86" s="53">
        <v>72</v>
      </c>
    </row>
    <row r="87" spans="1:3" x14ac:dyDescent="0.15">
      <c r="A87" s="53">
        <v>205</v>
      </c>
      <c r="B87" s="53" t="s">
        <v>168</v>
      </c>
      <c r="C87" s="53">
        <v>205</v>
      </c>
    </row>
    <row r="88" spans="1:3" x14ac:dyDescent="0.15">
      <c r="A88" s="53">
        <v>206</v>
      </c>
      <c r="B88" s="53" t="s">
        <v>167</v>
      </c>
      <c r="C88" s="53">
        <v>206</v>
      </c>
    </row>
    <row r="89" spans="1:3" x14ac:dyDescent="0.15">
      <c r="A89" s="53">
        <v>95</v>
      </c>
      <c r="B89" s="53" t="s">
        <v>256</v>
      </c>
      <c r="C89" s="53">
        <v>95</v>
      </c>
    </row>
    <row r="90" spans="1:3" x14ac:dyDescent="0.15">
      <c r="A90" s="53">
        <v>196</v>
      </c>
      <c r="B90" s="53" t="s">
        <v>175</v>
      </c>
      <c r="C90" s="53">
        <v>196</v>
      </c>
    </row>
    <row r="91" spans="1:3" x14ac:dyDescent="0.15">
      <c r="A91" s="53">
        <v>91</v>
      </c>
      <c r="B91" s="53" t="s">
        <v>260</v>
      </c>
      <c r="C91" s="53">
        <v>91</v>
      </c>
    </row>
    <row r="92" spans="1:3" x14ac:dyDescent="0.15">
      <c r="A92" s="53">
        <v>55</v>
      </c>
      <c r="B92" s="53" t="s">
        <v>313</v>
      </c>
      <c r="C92" s="53">
        <v>55</v>
      </c>
    </row>
    <row r="93" spans="1:3" x14ac:dyDescent="0.15">
      <c r="A93" s="53">
        <v>141</v>
      </c>
      <c r="B93" s="53" t="s">
        <v>220</v>
      </c>
      <c r="C93" s="53">
        <v>141</v>
      </c>
    </row>
    <row r="94" spans="1:3" x14ac:dyDescent="0.15">
      <c r="A94" s="53">
        <v>116</v>
      </c>
      <c r="B94" s="53" t="s">
        <v>239</v>
      </c>
      <c r="C94" s="53">
        <v>116</v>
      </c>
    </row>
    <row r="95" spans="1:3" x14ac:dyDescent="0.15">
      <c r="A95" s="53">
        <v>73</v>
      </c>
      <c r="B95" s="53" t="s">
        <v>273</v>
      </c>
      <c r="C95" s="53">
        <v>73</v>
      </c>
    </row>
    <row r="96" spans="1:3" x14ac:dyDescent="0.15">
      <c r="A96" s="53">
        <v>24</v>
      </c>
      <c r="B96" s="53" t="s">
        <v>302</v>
      </c>
      <c r="C96" s="53">
        <v>24</v>
      </c>
    </row>
    <row r="97" spans="1:3" x14ac:dyDescent="0.15">
      <c r="A97" s="53">
        <v>104</v>
      </c>
      <c r="B97" s="53" t="s">
        <v>249</v>
      </c>
      <c r="C97" s="53">
        <v>104</v>
      </c>
    </row>
    <row r="98" spans="1:3" x14ac:dyDescent="0.15">
      <c r="A98" s="53">
        <v>125</v>
      </c>
      <c r="B98" s="53" t="s">
        <v>232</v>
      </c>
      <c r="C98" s="53">
        <v>125</v>
      </c>
    </row>
    <row r="99" spans="1:3" x14ac:dyDescent="0.15">
      <c r="A99" s="53">
        <v>83</v>
      </c>
      <c r="B99" s="53" t="s">
        <v>266</v>
      </c>
      <c r="C99" s="53">
        <v>83</v>
      </c>
    </row>
    <row r="100" spans="1:3" x14ac:dyDescent="0.15">
      <c r="A100" s="53">
        <v>56</v>
      </c>
      <c r="B100" s="53" t="s">
        <v>283</v>
      </c>
      <c r="C100" s="53">
        <v>56</v>
      </c>
    </row>
    <row r="101" spans="1:3" x14ac:dyDescent="0.15">
      <c r="A101" s="53">
        <v>74</v>
      </c>
      <c r="B101" s="53" t="s">
        <v>272</v>
      </c>
      <c r="C101" s="53">
        <v>74</v>
      </c>
    </row>
    <row r="102" spans="1:3" x14ac:dyDescent="0.15">
      <c r="A102" s="53">
        <v>145</v>
      </c>
      <c r="B102" s="53" t="s">
        <v>216</v>
      </c>
      <c r="C102" s="53">
        <v>145</v>
      </c>
    </row>
    <row r="103" spans="1:3" x14ac:dyDescent="0.15">
      <c r="A103" s="53">
        <v>197</v>
      </c>
      <c r="B103" s="53" t="s">
        <v>174</v>
      </c>
      <c r="C103" s="53">
        <v>197</v>
      </c>
    </row>
    <row r="104" spans="1:3" x14ac:dyDescent="0.15">
      <c r="A104" s="53">
        <v>155</v>
      </c>
      <c r="B104" s="53" t="s">
        <v>208</v>
      </c>
      <c r="C104" s="53">
        <v>155</v>
      </c>
    </row>
    <row r="105" spans="1:3" x14ac:dyDescent="0.15">
      <c r="A105" s="53">
        <v>3</v>
      </c>
      <c r="B105" s="53" t="s">
        <v>330</v>
      </c>
      <c r="C105" s="53">
        <v>3</v>
      </c>
    </row>
    <row r="106" spans="1:3" x14ac:dyDescent="0.15">
      <c r="A106" s="53">
        <v>207</v>
      </c>
      <c r="B106" s="53" t="s">
        <v>166</v>
      </c>
      <c r="C106" s="53">
        <v>207</v>
      </c>
    </row>
    <row r="107" spans="1:3" x14ac:dyDescent="0.15">
      <c r="A107" s="53">
        <v>84</v>
      </c>
      <c r="B107" s="53" t="s">
        <v>265</v>
      </c>
      <c r="C107" s="53">
        <v>84</v>
      </c>
    </row>
    <row r="108" spans="1:3" x14ac:dyDescent="0.15">
      <c r="A108" s="53">
        <v>121</v>
      </c>
      <c r="B108" s="53" t="s">
        <v>236</v>
      </c>
      <c r="C108" s="53">
        <v>121</v>
      </c>
    </row>
    <row r="109" spans="1:3" x14ac:dyDescent="0.15">
      <c r="A109" s="53">
        <v>146</v>
      </c>
      <c r="B109" s="53" t="s">
        <v>215</v>
      </c>
      <c r="C109" s="53">
        <v>146</v>
      </c>
    </row>
    <row r="110" spans="1:3" x14ac:dyDescent="0.15">
      <c r="A110" s="53">
        <v>191</v>
      </c>
      <c r="B110" s="53" t="s">
        <v>180</v>
      </c>
      <c r="C110" s="53">
        <v>191</v>
      </c>
    </row>
    <row r="111" spans="1:3" x14ac:dyDescent="0.15">
      <c r="A111" s="53">
        <v>96</v>
      </c>
      <c r="B111" s="53" t="s">
        <v>255</v>
      </c>
      <c r="C111" s="53">
        <v>96</v>
      </c>
    </row>
    <row r="112" spans="1:3" x14ac:dyDescent="0.15">
      <c r="A112" s="53">
        <v>44</v>
      </c>
      <c r="B112" s="53" t="s">
        <v>290</v>
      </c>
      <c r="C112" s="53">
        <v>44</v>
      </c>
    </row>
    <row r="113" spans="1:3" x14ac:dyDescent="0.15">
      <c r="A113" s="53">
        <v>156</v>
      </c>
      <c r="B113" s="53" t="s">
        <v>207</v>
      </c>
      <c r="C113" s="53">
        <v>156</v>
      </c>
    </row>
    <row r="114" spans="1:3" x14ac:dyDescent="0.15">
      <c r="A114" s="53">
        <v>25</v>
      </c>
      <c r="B114" s="53" t="s">
        <v>319</v>
      </c>
      <c r="C114" s="53">
        <v>25</v>
      </c>
    </row>
    <row r="115" spans="1:3" x14ac:dyDescent="0.15">
      <c r="A115" s="53">
        <v>97</v>
      </c>
      <c r="B115" s="53" t="s">
        <v>254</v>
      </c>
      <c r="C115" s="53">
        <v>97</v>
      </c>
    </row>
    <row r="116" spans="1:3" x14ac:dyDescent="0.15">
      <c r="A116" s="53">
        <v>105</v>
      </c>
      <c r="B116" s="53" t="s">
        <v>248</v>
      </c>
      <c r="C116" s="53">
        <v>105</v>
      </c>
    </row>
    <row r="117" spans="1:3" x14ac:dyDescent="0.15">
      <c r="A117" s="53">
        <v>75</v>
      </c>
      <c r="B117" s="53" t="s">
        <v>309</v>
      </c>
      <c r="C117" s="53">
        <v>75</v>
      </c>
    </row>
    <row r="118" spans="1:3" x14ac:dyDescent="0.15">
      <c r="A118" s="53">
        <v>126</v>
      </c>
      <c r="B118" s="53" t="s">
        <v>231</v>
      </c>
      <c r="C118" s="53">
        <v>126</v>
      </c>
    </row>
    <row r="119" spans="1:3" x14ac:dyDescent="0.15">
      <c r="A119" s="53">
        <v>1</v>
      </c>
      <c r="B119" s="53" t="s">
        <v>332</v>
      </c>
      <c r="C119" s="53">
        <v>1</v>
      </c>
    </row>
    <row r="120" spans="1:3" x14ac:dyDescent="0.15">
      <c r="A120" s="53">
        <v>4</v>
      </c>
      <c r="B120" s="53" t="s">
        <v>308</v>
      </c>
      <c r="C120" s="53">
        <v>4</v>
      </c>
    </row>
    <row r="121" spans="1:3" x14ac:dyDescent="0.15">
      <c r="A121" s="53">
        <v>35</v>
      </c>
      <c r="B121" s="53" t="s">
        <v>296</v>
      </c>
      <c r="C121" s="53">
        <v>35</v>
      </c>
    </row>
    <row r="122" spans="1:3" x14ac:dyDescent="0.15">
      <c r="A122" s="53">
        <v>127</v>
      </c>
      <c r="B122" s="53" t="s">
        <v>230</v>
      </c>
      <c r="C122" s="53">
        <v>127</v>
      </c>
    </row>
    <row r="123" spans="1:3" x14ac:dyDescent="0.15">
      <c r="A123" s="53">
        <v>165</v>
      </c>
      <c r="B123" s="53" t="s">
        <v>200</v>
      </c>
      <c r="C123" s="53">
        <v>165</v>
      </c>
    </row>
    <row r="124" spans="1:3" x14ac:dyDescent="0.15">
      <c r="A124" s="53">
        <v>45</v>
      </c>
      <c r="B124" s="53" t="s">
        <v>289</v>
      </c>
      <c r="C124" s="53">
        <v>45</v>
      </c>
    </row>
    <row r="125" spans="1:3" x14ac:dyDescent="0.15">
      <c r="A125" s="53">
        <v>106</v>
      </c>
      <c r="B125" s="53" t="s">
        <v>247</v>
      </c>
      <c r="C125" s="53">
        <v>106</v>
      </c>
    </row>
    <row r="126" spans="1:3" x14ac:dyDescent="0.15">
      <c r="A126" s="53">
        <v>61</v>
      </c>
      <c r="B126" s="53" t="s">
        <v>280</v>
      </c>
      <c r="C126" s="53">
        <v>61</v>
      </c>
    </row>
    <row r="127" spans="1:3" x14ac:dyDescent="0.15">
      <c r="A127" s="53">
        <v>137</v>
      </c>
      <c r="B127" s="53" t="s">
        <v>222</v>
      </c>
      <c r="C127" s="53">
        <v>137</v>
      </c>
    </row>
    <row r="128" spans="1:3" x14ac:dyDescent="0.15">
      <c r="A128" s="53">
        <v>71</v>
      </c>
      <c r="B128" s="53" t="s">
        <v>274</v>
      </c>
      <c r="C128" s="53">
        <v>71</v>
      </c>
    </row>
    <row r="129" spans="1:3" x14ac:dyDescent="0.15">
      <c r="A129" s="53">
        <v>147</v>
      </c>
      <c r="B129" s="53" t="s">
        <v>214</v>
      </c>
      <c r="C129" s="53">
        <v>147</v>
      </c>
    </row>
    <row r="130" spans="1:3" x14ac:dyDescent="0.15">
      <c r="A130" s="53">
        <v>148</v>
      </c>
      <c r="B130" s="53" t="s">
        <v>213</v>
      </c>
      <c r="C130" s="53">
        <v>148</v>
      </c>
    </row>
    <row r="131" spans="1:3" x14ac:dyDescent="0.15">
      <c r="A131" s="53">
        <v>98</v>
      </c>
      <c r="B131" s="53" t="s">
        <v>253</v>
      </c>
      <c r="C131" s="53">
        <v>98</v>
      </c>
    </row>
    <row r="132" spans="1:3" x14ac:dyDescent="0.15">
      <c r="A132" s="53">
        <v>46</v>
      </c>
      <c r="B132" s="53" t="s">
        <v>288</v>
      </c>
      <c r="C132" s="53">
        <v>46</v>
      </c>
    </row>
    <row r="133" spans="1:3" x14ac:dyDescent="0.15">
      <c r="A133" s="53">
        <v>26</v>
      </c>
      <c r="B133" s="53" t="s">
        <v>301</v>
      </c>
      <c r="C133" s="53">
        <v>26</v>
      </c>
    </row>
    <row r="134" spans="1:3" x14ac:dyDescent="0.15">
      <c r="A134" s="53">
        <v>128</v>
      </c>
      <c r="B134" s="53" t="s">
        <v>229</v>
      </c>
      <c r="C134" s="53">
        <v>128</v>
      </c>
    </row>
    <row r="135" spans="1:3" x14ac:dyDescent="0.15">
      <c r="A135" s="53">
        <v>157</v>
      </c>
      <c r="B135" s="53" t="s">
        <v>206</v>
      </c>
      <c r="C135" s="53">
        <v>157</v>
      </c>
    </row>
    <row r="136" spans="1:3" x14ac:dyDescent="0.15">
      <c r="A136" s="53">
        <v>217</v>
      </c>
      <c r="B136" s="53" t="s">
        <v>158</v>
      </c>
      <c r="C136" s="53">
        <v>217</v>
      </c>
    </row>
    <row r="137" spans="1:3" x14ac:dyDescent="0.15">
      <c r="A137" s="53">
        <v>85</v>
      </c>
      <c r="B137" s="53" t="s">
        <v>264</v>
      </c>
      <c r="C137" s="53">
        <v>85</v>
      </c>
    </row>
    <row r="138" spans="1:3" x14ac:dyDescent="0.15">
      <c r="A138" s="53">
        <v>5</v>
      </c>
      <c r="B138" s="53" t="s">
        <v>329</v>
      </c>
      <c r="C138" s="53">
        <v>5</v>
      </c>
    </row>
    <row r="139" spans="1:3" x14ac:dyDescent="0.15">
      <c r="A139" s="53">
        <v>81</v>
      </c>
      <c r="B139" s="53" t="s">
        <v>268</v>
      </c>
      <c r="C139" s="53">
        <v>81</v>
      </c>
    </row>
    <row r="140" spans="1:3" x14ac:dyDescent="0.15">
      <c r="A140" s="53">
        <v>86</v>
      </c>
      <c r="B140" s="53" t="s">
        <v>263</v>
      </c>
      <c r="C140" s="53">
        <v>86</v>
      </c>
    </row>
    <row r="141" spans="1:3" x14ac:dyDescent="0.15">
      <c r="A141" s="53">
        <v>6</v>
      </c>
      <c r="B141" s="53" t="s">
        <v>328</v>
      </c>
      <c r="C141" s="53">
        <v>6</v>
      </c>
    </row>
    <row r="142" spans="1:3" x14ac:dyDescent="0.15">
      <c r="A142" s="53">
        <v>57</v>
      </c>
      <c r="B142" s="53" t="s">
        <v>282</v>
      </c>
      <c r="C142" s="53">
        <v>57</v>
      </c>
    </row>
    <row r="143" spans="1:3" x14ac:dyDescent="0.15">
      <c r="A143" s="53">
        <v>208</v>
      </c>
      <c r="B143" s="53" t="s">
        <v>165</v>
      </c>
      <c r="C143" s="53">
        <v>208</v>
      </c>
    </row>
    <row r="144" spans="1:3" x14ac:dyDescent="0.15">
      <c r="A144" s="53">
        <v>117</v>
      </c>
      <c r="B144" s="53" t="s">
        <v>238</v>
      </c>
      <c r="C144" s="53">
        <v>117</v>
      </c>
    </row>
    <row r="145" spans="1:3" x14ac:dyDescent="0.15">
      <c r="A145" s="53">
        <v>87</v>
      </c>
      <c r="B145" s="53" t="s">
        <v>262</v>
      </c>
      <c r="C145" s="53">
        <v>87</v>
      </c>
    </row>
    <row r="146" spans="1:3" x14ac:dyDescent="0.15">
      <c r="A146" s="53">
        <v>36</v>
      </c>
      <c r="B146" s="53" t="s">
        <v>295</v>
      </c>
      <c r="C146" s="53">
        <v>36</v>
      </c>
    </row>
    <row r="147" spans="1:3" x14ac:dyDescent="0.15">
      <c r="A147" s="53">
        <v>66</v>
      </c>
      <c r="B147" s="53" t="s">
        <v>276</v>
      </c>
      <c r="C147" s="53">
        <v>66</v>
      </c>
    </row>
    <row r="148" spans="1:3" x14ac:dyDescent="0.15">
      <c r="A148" s="53">
        <v>171</v>
      </c>
      <c r="B148" s="53" t="s">
        <v>196</v>
      </c>
      <c r="C148" s="53">
        <v>171</v>
      </c>
    </row>
    <row r="149" spans="1:3" x14ac:dyDescent="0.15">
      <c r="A149" s="53">
        <v>177</v>
      </c>
      <c r="B149" s="53" t="s">
        <v>190</v>
      </c>
      <c r="C149" s="53">
        <v>177</v>
      </c>
    </row>
    <row r="150" spans="1:3" x14ac:dyDescent="0.15">
      <c r="A150" s="53">
        <v>166</v>
      </c>
      <c r="B150" s="53" t="s">
        <v>199</v>
      </c>
      <c r="C150" s="53">
        <v>166</v>
      </c>
    </row>
    <row r="151" spans="1:3" x14ac:dyDescent="0.15">
      <c r="A151" s="53">
        <v>88</v>
      </c>
      <c r="B151" s="53" t="s">
        <v>261</v>
      </c>
      <c r="C151" s="53">
        <v>88</v>
      </c>
    </row>
    <row r="152" spans="1:3" x14ac:dyDescent="0.15">
      <c r="A152" s="53">
        <v>167</v>
      </c>
      <c r="B152" s="53" t="s">
        <v>198</v>
      </c>
      <c r="C152" s="53">
        <v>167</v>
      </c>
    </row>
    <row r="153" spans="1:3" x14ac:dyDescent="0.15">
      <c r="A153" s="53">
        <v>67</v>
      </c>
      <c r="B153" s="53" t="s">
        <v>311</v>
      </c>
      <c r="C153" s="53">
        <v>67</v>
      </c>
    </row>
    <row r="154" spans="1:3" x14ac:dyDescent="0.15">
      <c r="A154" s="53">
        <v>168</v>
      </c>
      <c r="B154" s="53" t="s">
        <v>197</v>
      </c>
      <c r="C154" s="53">
        <v>168</v>
      </c>
    </row>
    <row r="155" spans="1:3" x14ac:dyDescent="0.15">
      <c r="A155" s="53">
        <v>118</v>
      </c>
      <c r="B155" s="53" t="s">
        <v>237</v>
      </c>
      <c r="C155" s="53">
        <v>118</v>
      </c>
    </row>
    <row r="156" spans="1:3" x14ac:dyDescent="0.15">
      <c r="A156" s="53">
        <v>158</v>
      </c>
      <c r="B156" s="53" t="s">
        <v>205</v>
      </c>
      <c r="C156" s="53">
        <v>158</v>
      </c>
    </row>
    <row r="157" spans="1:3" x14ac:dyDescent="0.15">
      <c r="A157" s="53">
        <v>181</v>
      </c>
      <c r="B157" s="53" t="s">
        <v>188</v>
      </c>
      <c r="C157" s="53">
        <v>181</v>
      </c>
    </row>
    <row r="158" spans="1:3" x14ac:dyDescent="0.15">
      <c r="A158" s="53">
        <v>37</v>
      </c>
      <c r="B158" s="53" t="s">
        <v>294</v>
      </c>
      <c r="C158" s="53">
        <v>37</v>
      </c>
    </row>
    <row r="159" spans="1:3" x14ac:dyDescent="0.15">
      <c r="A159" s="53">
        <v>17</v>
      </c>
      <c r="B159" s="53" t="s">
        <v>322</v>
      </c>
      <c r="C159" s="53">
        <v>17</v>
      </c>
    </row>
    <row r="160" spans="1:3" x14ac:dyDescent="0.15">
      <c r="A160" s="53">
        <v>38</v>
      </c>
      <c r="B160" s="53" t="s">
        <v>316</v>
      </c>
      <c r="C160" s="53">
        <v>38</v>
      </c>
    </row>
    <row r="161" spans="1:3" x14ac:dyDescent="0.15">
      <c r="A161" s="53">
        <v>198</v>
      </c>
      <c r="B161" s="53" t="s">
        <v>173</v>
      </c>
      <c r="C161" s="53">
        <v>198</v>
      </c>
    </row>
    <row r="162" spans="1:3" x14ac:dyDescent="0.15">
      <c r="A162" s="53">
        <v>101</v>
      </c>
      <c r="B162" s="53" t="s">
        <v>252</v>
      </c>
      <c r="C162" s="53">
        <v>101</v>
      </c>
    </row>
    <row r="163" spans="1:3" x14ac:dyDescent="0.15">
      <c r="A163" s="53">
        <v>77</v>
      </c>
      <c r="B163" s="53" t="s">
        <v>270</v>
      </c>
      <c r="C163" s="53">
        <v>77</v>
      </c>
    </row>
    <row r="164" spans="1:3" x14ac:dyDescent="0.15">
      <c r="A164" s="53">
        <v>211</v>
      </c>
      <c r="B164" s="53" t="s">
        <v>164</v>
      </c>
      <c r="C164" s="53">
        <v>211</v>
      </c>
    </row>
    <row r="165" spans="1:3" x14ac:dyDescent="0.15">
      <c r="A165" s="53">
        <v>27</v>
      </c>
      <c r="B165" s="53" t="s">
        <v>318</v>
      </c>
      <c r="C165" s="53">
        <v>27</v>
      </c>
    </row>
    <row r="166" spans="1:3" x14ac:dyDescent="0.15">
      <c r="A166" s="53">
        <v>218</v>
      </c>
      <c r="B166" s="53" t="s">
        <v>157</v>
      </c>
      <c r="C166" s="53">
        <v>218</v>
      </c>
    </row>
    <row r="167" spans="1:3" x14ac:dyDescent="0.15">
      <c r="A167" s="53">
        <v>78</v>
      </c>
      <c r="B167" s="53" t="s">
        <v>269</v>
      </c>
      <c r="C167" s="53">
        <v>78</v>
      </c>
    </row>
    <row r="168" spans="1:3" x14ac:dyDescent="0.15">
      <c r="A168" s="53">
        <v>47</v>
      </c>
      <c r="B168" s="53" t="s">
        <v>315</v>
      </c>
      <c r="C168" s="53">
        <v>47</v>
      </c>
    </row>
    <row r="169" spans="1:3" x14ac:dyDescent="0.15">
      <c r="A169" s="53">
        <v>28</v>
      </c>
      <c r="B169" s="53" t="s">
        <v>300</v>
      </c>
      <c r="C169" s="53">
        <v>28</v>
      </c>
    </row>
    <row r="170" spans="1:3" x14ac:dyDescent="0.15">
      <c r="A170" s="53">
        <v>131</v>
      </c>
      <c r="B170" s="53" t="s">
        <v>228</v>
      </c>
      <c r="C170" s="53">
        <v>131</v>
      </c>
    </row>
    <row r="171" spans="1:3" x14ac:dyDescent="0.15">
      <c r="A171" s="53">
        <v>178</v>
      </c>
      <c r="B171" s="53" t="s">
        <v>189</v>
      </c>
      <c r="C171" s="53">
        <v>178</v>
      </c>
    </row>
    <row r="172" spans="1:3" x14ac:dyDescent="0.15">
      <c r="A172" s="53">
        <v>138</v>
      </c>
      <c r="B172" s="53" t="s">
        <v>221</v>
      </c>
      <c r="C172" s="53">
        <v>138</v>
      </c>
    </row>
    <row r="173" spans="1:3" x14ac:dyDescent="0.15">
      <c r="A173" s="53">
        <v>188</v>
      </c>
      <c r="B173" s="53" t="s">
        <v>181</v>
      </c>
      <c r="C173" s="53">
        <v>188</v>
      </c>
    </row>
    <row r="174" spans="1:3" x14ac:dyDescent="0.15">
      <c r="A174" s="53">
        <v>107</v>
      </c>
      <c r="B174" s="53" t="s">
        <v>246</v>
      </c>
      <c r="C174" s="53">
        <v>107</v>
      </c>
    </row>
    <row r="175" spans="1:3" x14ac:dyDescent="0.15">
      <c r="A175" s="53">
        <v>108</v>
      </c>
      <c r="B175" s="53" t="s">
        <v>245</v>
      </c>
      <c r="C175" s="53">
        <v>108</v>
      </c>
    </row>
    <row r="176" spans="1:3" x14ac:dyDescent="0.15">
      <c r="A176" s="53">
        <v>11</v>
      </c>
      <c r="B176" s="53" t="s">
        <v>307</v>
      </c>
      <c r="C176" s="53">
        <v>11</v>
      </c>
    </row>
    <row r="177" spans="1:3" x14ac:dyDescent="0.15">
      <c r="A177" s="53">
        <v>76</v>
      </c>
      <c r="B177" s="53" t="s">
        <v>271</v>
      </c>
      <c r="C177" s="53">
        <v>76</v>
      </c>
    </row>
    <row r="178" spans="1:3" x14ac:dyDescent="0.15">
      <c r="A178" s="53">
        <v>228</v>
      </c>
      <c r="B178" s="53" t="s">
        <v>149</v>
      </c>
      <c r="C178" s="53">
        <v>228</v>
      </c>
    </row>
    <row r="179" spans="1:3" x14ac:dyDescent="0.15">
      <c r="A179" s="53">
        <v>68</v>
      </c>
      <c r="B179" s="53" t="s">
        <v>275</v>
      </c>
      <c r="C179" s="53">
        <v>68</v>
      </c>
    </row>
    <row r="180" spans="1:3" x14ac:dyDescent="0.15">
      <c r="A180" s="53">
        <v>7</v>
      </c>
      <c r="B180" s="53" t="s">
        <v>327</v>
      </c>
      <c r="C180" s="53">
        <v>7</v>
      </c>
    </row>
    <row r="181" spans="1:3" x14ac:dyDescent="0.15">
      <c r="A181" s="53">
        <v>201</v>
      </c>
      <c r="B181" s="53" t="s">
        <v>172</v>
      </c>
      <c r="C181" s="53">
        <v>201</v>
      </c>
    </row>
    <row r="182" spans="1:3" x14ac:dyDescent="0.15">
      <c r="A182" s="53">
        <v>58</v>
      </c>
      <c r="B182" s="53" t="s">
        <v>281</v>
      </c>
      <c r="C182" s="53">
        <v>58</v>
      </c>
    </row>
    <row r="183" spans="1:3" x14ac:dyDescent="0.15">
      <c r="A183" s="53">
        <v>8</v>
      </c>
      <c r="B183" s="53" t="s">
        <v>326</v>
      </c>
      <c r="C183" s="53">
        <v>8</v>
      </c>
    </row>
    <row r="184" spans="1:3" x14ac:dyDescent="0.15">
      <c r="A184" s="53">
        <v>18</v>
      </c>
      <c r="B184" s="53" t="s">
        <v>321</v>
      </c>
      <c r="C184" s="53">
        <v>18</v>
      </c>
    </row>
    <row r="185" spans="1:3" x14ac:dyDescent="0.15">
      <c r="A185" s="53">
        <v>48</v>
      </c>
      <c r="B185" s="53" t="s">
        <v>287</v>
      </c>
      <c r="C185" s="53">
        <v>48</v>
      </c>
    </row>
  </sheetData>
  <autoFilter ref="A1:B185" xr:uid="{802DAF4B-4B35-412B-ADF7-444E1A2F8511}">
    <sortState xmlns:xlrd2="http://schemas.microsoft.com/office/spreadsheetml/2017/richdata2" ref="A2:B185">
      <sortCondition ref="B1:B185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721D8-ED0D-4A4E-8229-8CD61E4DBBF9}">
  <dimension ref="A1:B49"/>
  <sheetViews>
    <sheetView workbookViewId="0">
      <selection activeCell="A93" sqref="A2:A93"/>
    </sheetView>
  </sheetViews>
  <sheetFormatPr baseColWidth="10" defaultColWidth="8.83203125" defaultRowHeight="14" x14ac:dyDescent="0.15"/>
  <cols>
    <col min="1" max="16384" width="8.83203125" style="53"/>
  </cols>
  <sheetData>
    <row r="1" spans="1:2" x14ac:dyDescent="0.15">
      <c r="A1" s="53" t="s">
        <v>334</v>
      </c>
      <c r="B1" s="53" t="s">
        <v>333</v>
      </c>
    </row>
    <row r="2" spans="1:2" x14ac:dyDescent="0.15">
      <c r="A2" s="53">
        <v>192</v>
      </c>
      <c r="B2" s="53" t="s">
        <v>179</v>
      </c>
    </row>
    <row r="3" spans="1:2" x14ac:dyDescent="0.15">
      <c r="A3" s="53">
        <v>92</v>
      </c>
      <c r="B3" s="53" t="s">
        <v>259</v>
      </c>
    </row>
    <row r="4" spans="1:2" x14ac:dyDescent="0.15">
      <c r="A4" s="53">
        <v>42</v>
      </c>
      <c r="B4" s="53" t="s">
        <v>292</v>
      </c>
    </row>
    <row r="5" spans="1:2" x14ac:dyDescent="0.15">
      <c r="A5" s="53">
        <v>33</v>
      </c>
      <c r="B5" s="53" t="s">
        <v>298</v>
      </c>
    </row>
    <row r="6" spans="1:2" x14ac:dyDescent="0.15">
      <c r="A6" s="53">
        <v>212</v>
      </c>
      <c r="B6" s="53" t="s">
        <v>163</v>
      </c>
    </row>
    <row r="7" spans="1:2" x14ac:dyDescent="0.15">
      <c r="A7" s="53">
        <v>194</v>
      </c>
      <c r="B7" s="53" t="s">
        <v>177</v>
      </c>
    </row>
    <row r="8" spans="1:2" x14ac:dyDescent="0.15">
      <c r="A8" s="53">
        <v>203</v>
      </c>
      <c r="B8" s="53" t="s">
        <v>170</v>
      </c>
    </row>
    <row r="9" spans="1:2" x14ac:dyDescent="0.15">
      <c r="A9" s="53">
        <v>43</v>
      </c>
      <c r="B9" s="53" t="s">
        <v>291</v>
      </c>
    </row>
    <row r="10" spans="1:2" x14ac:dyDescent="0.15">
      <c r="A10" s="53">
        <v>143</v>
      </c>
      <c r="B10" s="53" t="s">
        <v>218</v>
      </c>
    </row>
    <row r="11" spans="1:2" x14ac:dyDescent="0.15">
      <c r="A11" s="53">
        <v>133</v>
      </c>
      <c r="B11" s="53" t="s">
        <v>226</v>
      </c>
    </row>
    <row r="12" spans="1:2" x14ac:dyDescent="0.15">
      <c r="A12" s="53">
        <v>214</v>
      </c>
      <c r="B12" s="53" t="s">
        <v>161</v>
      </c>
    </row>
    <row r="13" spans="1:2" x14ac:dyDescent="0.15">
      <c r="A13" s="53">
        <v>21</v>
      </c>
      <c r="B13" s="53" t="s">
        <v>304</v>
      </c>
    </row>
    <row r="14" spans="1:2" x14ac:dyDescent="0.15">
      <c r="A14" s="53">
        <v>175</v>
      </c>
      <c r="B14" s="53" t="s">
        <v>192</v>
      </c>
    </row>
    <row r="15" spans="1:2" x14ac:dyDescent="0.15">
      <c r="A15" s="53">
        <v>195</v>
      </c>
      <c r="B15" s="53" t="s">
        <v>176</v>
      </c>
    </row>
    <row r="16" spans="1:2" x14ac:dyDescent="0.15">
      <c r="A16" s="53">
        <v>224</v>
      </c>
      <c r="B16" s="53" t="s">
        <v>153</v>
      </c>
    </row>
    <row r="17" spans="1:2" x14ac:dyDescent="0.15">
      <c r="A17" s="53">
        <v>185</v>
      </c>
      <c r="B17" s="53" t="s">
        <v>184</v>
      </c>
    </row>
    <row r="18" spans="1:2" x14ac:dyDescent="0.15">
      <c r="A18" s="53">
        <v>135</v>
      </c>
      <c r="B18" s="53" t="s">
        <v>224</v>
      </c>
    </row>
    <row r="19" spans="1:2" x14ac:dyDescent="0.15">
      <c r="A19" s="53">
        <v>41</v>
      </c>
      <c r="B19" s="53" t="s">
        <v>293</v>
      </c>
    </row>
    <row r="20" spans="1:2" x14ac:dyDescent="0.15">
      <c r="A20" s="53">
        <v>94</v>
      </c>
      <c r="B20" s="53" t="s">
        <v>257</v>
      </c>
    </row>
    <row r="21" spans="1:2" x14ac:dyDescent="0.15">
      <c r="A21" s="53">
        <v>34</v>
      </c>
      <c r="B21" s="53" t="s">
        <v>297</v>
      </c>
    </row>
    <row r="22" spans="1:2" x14ac:dyDescent="0.15">
      <c r="A22" s="53">
        <v>65</v>
      </c>
      <c r="B22" s="53" t="s">
        <v>277</v>
      </c>
    </row>
    <row r="23" spans="1:2" x14ac:dyDescent="0.15">
      <c r="A23" s="53">
        <v>136</v>
      </c>
      <c r="B23" s="53" t="s">
        <v>223</v>
      </c>
    </row>
    <row r="24" spans="1:2" x14ac:dyDescent="0.15">
      <c r="A24" s="53">
        <v>72</v>
      </c>
      <c r="B24" s="53" t="s">
        <v>310</v>
      </c>
    </row>
    <row r="25" spans="1:2" x14ac:dyDescent="0.15">
      <c r="A25" s="53">
        <v>55</v>
      </c>
      <c r="B25" s="53" t="s">
        <v>313</v>
      </c>
    </row>
    <row r="26" spans="1:2" x14ac:dyDescent="0.15">
      <c r="A26" s="53">
        <v>116</v>
      </c>
      <c r="B26" s="53" t="s">
        <v>239</v>
      </c>
    </row>
    <row r="27" spans="1:2" x14ac:dyDescent="0.15">
      <c r="A27" s="53">
        <v>83</v>
      </c>
      <c r="B27" s="53" t="s">
        <v>266</v>
      </c>
    </row>
    <row r="28" spans="1:2" x14ac:dyDescent="0.15">
      <c r="A28" s="53">
        <v>84</v>
      </c>
      <c r="B28" s="53" t="s">
        <v>265</v>
      </c>
    </row>
    <row r="29" spans="1:2" x14ac:dyDescent="0.15">
      <c r="A29" s="53">
        <v>191</v>
      </c>
      <c r="B29" s="53" t="s">
        <v>180</v>
      </c>
    </row>
    <row r="30" spans="1:2" x14ac:dyDescent="0.15">
      <c r="A30" s="53">
        <v>44</v>
      </c>
      <c r="B30" s="53" t="s">
        <v>290</v>
      </c>
    </row>
    <row r="31" spans="1:2" x14ac:dyDescent="0.15">
      <c r="A31" s="53">
        <v>25</v>
      </c>
      <c r="B31" s="53" t="s">
        <v>319</v>
      </c>
    </row>
    <row r="32" spans="1:2" x14ac:dyDescent="0.15">
      <c r="A32" s="53">
        <v>97</v>
      </c>
      <c r="B32" s="53" t="s">
        <v>254</v>
      </c>
    </row>
    <row r="33" spans="1:2" x14ac:dyDescent="0.15">
      <c r="A33" s="53">
        <v>75</v>
      </c>
      <c r="B33" s="53" t="s">
        <v>309</v>
      </c>
    </row>
    <row r="34" spans="1:2" x14ac:dyDescent="0.15">
      <c r="A34" s="53">
        <v>126</v>
      </c>
      <c r="B34" s="53" t="s">
        <v>231</v>
      </c>
    </row>
    <row r="35" spans="1:2" x14ac:dyDescent="0.15">
      <c r="A35" s="53">
        <v>61</v>
      </c>
      <c r="B35" s="53" t="s">
        <v>280</v>
      </c>
    </row>
    <row r="36" spans="1:2" x14ac:dyDescent="0.15">
      <c r="A36" s="53">
        <v>147</v>
      </c>
      <c r="B36" s="53" t="s">
        <v>214</v>
      </c>
    </row>
    <row r="37" spans="1:2" x14ac:dyDescent="0.15">
      <c r="A37" s="53">
        <v>85</v>
      </c>
      <c r="B37" s="53" t="s">
        <v>264</v>
      </c>
    </row>
    <row r="38" spans="1:2" x14ac:dyDescent="0.15">
      <c r="A38" s="53">
        <v>81</v>
      </c>
      <c r="B38" s="53" t="s">
        <v>268</v>
      </c>
    </row>
    <row r="39" spans="1:2" x14ac:dyDescent="0.15">
      <c r="A39" s="53">
        <v>158</v>
      </c>
      <c r="B39" s="53" t="s">
        <v>205</v>
      </c>
    </row>
    <row r="40" spans="1:2" x14ac:dyDescent="0.15">
      <c r="A40" s="53">
        <v>198</v>
      </c>
      <c r="B40" s="53" t="s">
        <v>173</v>
      </c>
    </row>
    <row r="41" spans="1:2" x14ac:dyDescent="0.15">
      <c r="A41" s="53">
        <v>77</v>
      </c>
      <c r="B41" s="53" t="s">
        <v>270</v>
      </c>
    </row>
    <row r="42" spans="1:2" x14ac:dyDescent="0.15">
      <c r="A42" s="53">
        <v>211</v>
      </c>
      <c r="B42" s="53" t="s">
        <v>164</v>
      </c>
    </row>
    <row r="43" spans="1:2" x14ac:dyDescent="0.15">
      <c r="A43" s="53">
        <v>47</v>
      </c>
      <c r="B43" s="53" t="s">
        <v>315</v>
      </c>
    </row>
    <row r="44" spans="1:2" x14ac:dyDescent="0.15">
      <c r="A44" s="53">
        <v>28</v>
      </c>
      <c r="B44" s="53" t="s">
        <v>300</v>
      </c>
    </row>
    <row r="45" spans="1:2" x14ac:dyDescent="0.15">
      <c r="A45" s="53">
        <v>131</v>
      </c>
      <c r="B45" s="53" t="s">
        <v>228</v>
      </c>
    </row>
    <row r="46" spans="1:2" x14ac:dyDescent="0.15">
      <c r="A46" s="53">
        <v>188</v>
      </c>
      <c r="B46" s="53" t="s">
        <v>181</v>
      </c>
    </row>
    <row r="47" spans="1:2" x14ac:dyDescent="0.15">
      <c r="A47" s="53">
        <v>108</v>
      </c>
      <c r="B47" s="53" t="s">
        <v>245</v>
      </c>
    </row>
    <row r="48" spans="1:2" x14ac:dyDescent="0.15">
      <c r="A48" s="53">
        <v>228</v>
      </c>
      <c r="B48" s="53" t="s">
        <v>149</v>
      </c>
    </row>
    <row r="49" spans="1:2" x14ac:dyDescent="0.15">
      <c r="A49" s="53">
        <v>68</v>
      </c>
      <c r="B49" s="53" t="s">
        <v>275</v>
      </c>
    </row>
  </sheetData>
  <autoFilter ref="A1:B1" xr:uid="{71B721D8-ED0D-4A4E-8229-8CD61E4DBBF9}">
    <sortState xmlns:xlrd2="http://schemas.microsoft.com/office/spreadsheetml/2017/richdata2" ref="A2:B49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Reglement &amp; Puntentelling</vt:lpstr>
      <vt:lpstr>TEMPLATE TEAM</vt:lpstr>
      <vt:lpstr>Categorieën</vt:lpstr>
      <vt:lpstr>Namen Jokers final</vt:lpstr>
      <vt:lpstr>Namen totaal</vt:lpstr>
      <vt:lpstr>Witte trui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Broos, Jan-Willem</dc:creator>
  <cp:lastModifiedBy>Jans Tigelaar</cp:lastModifiedBy>
  <dcterms:created xsi:type="dcterms:W3CDTF">2023-06-26T08:43:29Z</dcterms:created>
  <dcterms:modified xsi:type="dcterms:W3CDTF">2025-12-25T10:35:01Z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a6e227-27d5-42bc-8eb9-760c0419ec2f_Enabled">
    <vt:lpwstr>true</vt:lpwstr>
  </property>
  <property fmtid="{D5CDD505-2E9C-101B-9397-08002B2CF9AE}" pid="3" name="MSIP_Label_41a6e227-27d5-42bc-8eb9-760c0419ec2f_SetDate">
    <vt:lpwstr>2024-05-01T09:29:26Z</vt:lpwstr>
  </property>
  <property fmtid="{D5CDD505-2E9C-101B-9397-08002B2CF9AE}" pid="4" name="MSIP_Label_41a6e227-27d5-42bc-8eb9-760c0419ec2f_Method">
    <vt:lpwstr>Standard</vt:lpwstr>
  </property>
  <property fmtid="{D5CDD505-2E9C-101B-9397-08002B2CF9AE}" pid="5" name="MSIP_Label_41a6e227-27d5-42bc-8eb9-760c0419ec2f_Name">
    <vt:lpwstr>Private</vt:lpwstr>
  </property>
  <property fmtid="{D5CDD505-2E9C-101B-9397-08002B2CF9AE}" pid="6" name="MSIP_Label_41a6e227-27d5-42bc-8eb9-760c0419ec2f_SiteId">
    <vt:lpwstr>bf5f4046-a1dc-4119-aa8a-bfb9fbf46271</vt:lpwstr>
  </property>
  <property fmtid="{D5CDD505-2E9C-101B-9397-08002B2CF9AE}" pid="7" name="MSIP_Label_41a6e227-27d5-42bc-8eb9-760c0419ec2f_ActionId">
    <vt:lpwstr>d3b26973-7122-40b1-b1a2-73692f764bd9</vt:lpwstr>
  </property>
  <property fmtid="{D5CDD505-2E9C-101B-9397-08002B2CF9AE}" pid="8" name="MSIP_Label_41a6e227-27d5-42bc-8eb9-760c0419ec2f_ContentBits">
    <vt:lpwstr>0</vt:lpwstr>
  </property>
</Properties>
</file>